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<sst xmlns="http://schemas.openxmlformats.org/spreadsheetml/2006/main" count="558" uniqueCount="119">
  <si>
    <t>Roll</t>
  </si>
  <si>
    <t>Name</t>
  </si>
  <si>
    <t>Class</t>
  </si>
  <si>
    <t>Session</t>
  </si>
  <si>
    <t>Subject</t>
  </si>
  <si>
    <t>Group</t>
  </si>
  <si>
    <t>Written (50)</t>
  </si>
  <si>
    <t>MCQ(25)</t>
  </si>
  <si>
    <t>Practical (25)</t>
  </si>
  <si>
    <t>Total (100)</t>
  </si>
  <si>
    <t>GPA</t>
  </si>
  <si>
    <t>Grade</t>
  </si>
  <si>
    <t>Status</t>
  </si>
  <si>
    <t>নুরুল আজিম</t>
  </si>
  <si>
    <t>HSC</t>
  </si>
  <si>
    <t>2025-2026</t>
  </si>
  <si>
    <t>তথ্য ও যোগাযোগ প্রযুক্তি</t>
  </si>
  <si>
    <t>Science</t>
  </si>
  <si>
    <t>মির মাকতুম আল নাহিয়ান</t>
  </si>
  <si>
    <t>ফাহারিয়া তারান্নুম সুমাইয়া</t>
  </si>
  <si>
    <t>অনুশ্রী নাথ অথৈ</t>
  </si>
  <si>
    <t>আরমিনা আক্তার</t>
  </si>
  <si>
    <t>মোহছেনা আক্তার রিপা</t>
  </si>
  <si>
    <t>None of this Roll</t>
  </si>
  <si>
    <t>B. Studies</t>
  </si>
  <si>
    <t>আশরাফুল উদ্দিন</t>
  </si>
  <si>
    <t>মাহমুদা মেহেনুর</t>
  </si>
  <si>
    <t>জান্নাতুল ফেরদাউস</t>
  </si>
  <si>
    <t>ফাহিমা আক্তার</t>
  </si>
  <si>
    <t>মুনিরা আক্তার</t>
  </si>
  <si>
    <t>জুলিয়া আক্তার এনি</t>
  </si>
  <si>
    <t>সাদিয়া তাবাচ্ছুম</t>
  </si>
  <si>
    <t>তাছলিমা আক্তার</t>
  </si>
  <si>
    <t>নাহিদা আক্তার</t>
  </si>
  <si>
    <t>আসাদুজ্জামান</t>
  </si>
  <si>
    <t>শাহরিয়া সাবরিন</t>
  </si>
  <si>
    <t>সানিজিদা ইয়াছমিন</t>
  </si>
  <si>
    <t>ফাহিম</t>
  </si>
  <si>
    <t>আফরায়া সুবাশশিরা ইশফা</t>
  </si>
  <si>
    <t>সামান্তা সুলতানা</t>
  </si>
  <si>
    <t>আনিসুর রহমান</t>
  </si>
  <si>
    <t>হুমায়রা খানম</t>
  </si>
  <si>
    <t>নানিয়ার জাহান</t>
  </si>
  <si>
    <t>স্বর্ণা আক্তার প্রমি</t>
  </si>
  <si>
    <t>নাহিদুল ইসলাম</t>
  </si>
  <si>
    <t>বিবি আমেনা</t>
  </si>
  <si>
    <t>মুনতাজিম উদ্দিন</t>
  </si>
  <si>
    <t>রাহুল চন্দ্র নাথ</t>
  </si>
  <si>
    <t>নাফিজ আফ্রিদি</t>
  </si>
  <si>
    <t>নুসরাত জাহান</t>
  </si>
  <si>
    <t>মিজান হোসেন</t>
  </si>
  <si>
    <t>রাইমা তানমিম</t>
  </si>
  <si>
    <t>Arts</t>
  </si>
  <si>
    <t>রিহাত সুলতানা</t>
  </si>
  <si>
    <t>আইরিন সুলতানা</t>
  </si>
  <si>
    <t>ঐশি দত্ত</t>
  </si>
  <si>
    <t>সালমান</t>
  </si>
  <si>
    <t>সোনিয়া ইয়াছমিন</t>
  </si>
  <si>
    <t>জেসমিন আক্তার</t>
  </si>
  <si>
    <t>সানজিদা আক্তার</t>
  </si>
  <si>
    <t>ফারিহা আমরিন</t>
  </si>
  <si>
    <t>তাওসিফা সাদিয়া</t>
  </si>
  <si>
    <t>নুসরাত আফরিন</t>
  </si>
  <si>
    <t>ফাহমিদা হক</t>
  </si>
  <si>
    <t>ফাতেমাতুজ জোহরা</t>
  </si>
  <si>
    <t>সাইরিন সুলতানা</t>
  </si>
  <si>
    <t>সামিরা বিনতে হুদা</t>
  </si>
  <si>
    <t>পুষ্পিতা রানী শর্মা</t>
  </si>
  <si>
    <t>নুরে সুমাইয়া জাহান</t>
  </si>
  <si>
    <t>জান্নাতুল মাওয়া মাহি</t>
  </si>
  <si>
    <t>মেহেরাজ জেরিন অপি</t>
  </si>
  <si>
    <t>সাহারিয়া নাজনীন</t>
  </si>
  <si>
    <t>নাজনিন সুলতানা</t>
  </si>
  <si>
    <t>তামান্না শাহরিয়া দিপ্তী</t>
  </si>
  <si>
    <t>ওয়াহিয়া তারমি</t>
  </si>
  <si>
    <t>আফসানা সুলতানা</t>
  </si>
  <si>
    <t>সানিয়া আফরিন</t>
  </si>
  <si>
    <t>জাকিয়া সুলতানা</t>
  </si>
  <si>
    <t>সামিয়া জাহান</t>
  </si>
  <si>
    <t>সামিয়া আক্তার</t>
  </si>
  <si>
    <t>সাবরিনা আক্তার</t>
  </si>
  <si>
    <t>নাহিদা আক্তার ইকরা</t>
  </si>
  <si>
    <t>ইসমাত সুলতানা</t>
  </si>
  <si>
    <t>সামিরা তাজনিন লামিয়া</t>
  </si>
  <si>
    <t>রোমানা আক্তার</t>
  </si>
  <si>
    <t>তাসপ্রিয়া শাওন তাহিন</t>
  </si>
  <si>
    <t>শাহিন সুলতান তনিমা</t>
  </si>
  <si>
    <t>মিফতাহুল জান্নাত</t>
  </si>
  <si>
    <t>জাহিরুন আক্তার জামিয়া</t>
  </si>
  <si>
    <t>রোমানা বিনতে আল তাবাচ্ছুম</t>
  </si>
  <si>
    <t>ইসরাত জাহান মিলি</t>
  </si>
  <si>
    <t>তাছলিমা রাহি</t>
  </si>
  <si>
    <t>লামিয়া সুলতানা</t>
  </si>
  <si>
    <t>ফরিয়া তাছলিম</t>
  </si>
  <si>
    <t>তাইরিন তাবাচ্ছুম</t>
  </si>
  <si>
    <t>আইরিন সুলতানা অনিকা</t>
  </si>
  <si>
    <t>আল হোসেন ফাহিম</t>
  </si>
  <si>
    <t>জামাল</t>
  </si>
  <si>
    <t>সিদরাতুল মুনতাহা</t>
  </si>
  <si>
    <t>চৈতী রাণী দাশ</t>
  </si>
  <si>
    <t>জাকিয়া জান্নাত</t>
  </si>
  <si>
    <t>নাফিসা সুলতানা</t>
  </si>
  <si>
    <t>শারমিন আক্তার</t>
  </si>
  <si>
    <t>সুরাইয়া সিফরান</t>
  </si>
  <si>
    <t>ইয়াছিন আরাফাত</t>
  </si>
  <si>
    <t>তাহসিন আক্তার</t>
  </si>
  <si>
    <t>ফারিয়া আক্তার</t>
  </si>
  <si>
    <t>সৈকত হোসেন ইমন</t>
  </si>
  <si>
    <t>ফাহমিদা আক্তার নিশি</t>
  </si>
  <si>
    <t>ইমরাত জাহান</t>
  </si>
  <si>
    <t>সাবিহা সুলতানা</t>
  </si>
  <si>
    <t>তানভীরুল ইসলাম</t>
  </si>
  <si>
    <t>নাঈম হোসেন</t>
  </si>
  <si>
    <t>আবু বকর</t>
  </si>
  <si>
    <t>আবিদ মাহমুদ</t>
  </si>
  <si>
    <t>সানজিদুল হায়দার</t>
  </si>
  <si>
    <t>তাজমীর জাহান তিশা</t>
  </si>
  <si>
    <t>নাজিয়া সুলতানা</t>
  </si>
  <si>
    <t>2025-2027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</si>
</sst>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b/>
      <sz val="12.0"/>
      <color theme="1"/>
      <name val="Calibri"/>
    </font>
    <font>
      <b/>
      <sz val="12.0"/>
      <color rgb="FF92D050"/>
      <name val="Calibri"/>
    </font>
    <font>
      <b/>
      <sz val="12.0"/>
      <color theme="0"/>
      <name val="Calibri"/>
    </font>
    <font>
      <sz val="12.0"/>
      <color theme="1"/>
      <name val="Calibri"/>
    </font>
    <font>
      <sz val="14.0"/>
      <color rgb="FF1F2937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Font="1"/>
    <xf borderId="1" fillId="6" fontId="4" numFmtId="0" xfId="0" applyAlignment="1" applyBorder="1" applyFill="1" applyFont="1">
      <alignment horizontal="center" vertical="center"/>
    </xf>
    <xf borderId="1" fillId="6" fontId="4" numFmtId="0" xfId="0" applyAlignment="1" applyBorder="1" applyFont="1">
      <alignment horizontal="left" vertical="center"/>
    </xf>
    <xf borderId="1" fillId="7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" width="31.44"/>
    <col customWidth="1" min="3" max="3" width="10.89"/>
    <col customWidth="1" min="4" max="4" width="15.89"/>
    <col customWidth="1" min="5" max="5" width="19.22"/>
    <col customWidth="1" min="6" max="7" width="15.89"/>
    <col customWidth="1" min="8" max="8" width="10.89"/>
    <col customWidth="1" min="9" max="10" width="15.89"/>
    <col customWidth="1" min="11" max="13" width="10.89"/>
    <col customWidth="1" min="14" max="26" width="8.56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8">
        <v>1.0</v>
      </c>
      <c r="B2" s="9" t="s">
        <v>13</v>
      </c>
      <c r="C2" s="10" t="s">
        <v>14</v>
      </c>
      <c r="D2" s="8" t="s">
        <v>15</v>
      </c>
      <c r="E2" s="10" t="s">
        <v>16</v>
      </c>
      <c r="F2" s="8" t="s">
        <v>17</v>
      </c>
      <c r="G2" s="8">
        <v>48.0</v>
      </c>
      <c r="H2" s="8">
        <v>18.0</v>
      </c>
      <c r="I2" s="8">
        <v>23.0</v>
      </c>
      <c r="J2" s="8">
        <f t="shared" ref="J2:J110" si="1">SUM(G2:I2)</f>
        <v>89</v>
      </c>
      <c r="K2" s="8">
        <f t="shared" ref="K2:K110" si="2">IF(J2&gt;=80,5,
IF(J2&gt;=70,4,
IF(J2&gt;=60,3.5,
IF(J2&gt;=50,3,
IF(J2&gt;=40,2,
IF(J2&gt;=33,1,0))))))</f>
        <v>5</v>
      </c>
      <c r="L2" s="8" t="str">
        <f t="shared" ref="L2:L110" si="3">IF(K2=5,"A+",
IF(K2&gt;=4,"A",
IF(K2&gt;=3.5,"A-",
IF(K2&gt;=3,"B",
IF(K2&gt;=2,"C",
IF(K2&gt;=1,"D","F"))))))</f>
        <v>A+</v>
      </c>
      <c r="M2" s="8" t="str">
        <f t="shared" ref="M2:M110" si="4">IF(K2&gt;0,"PASS","FAIL")</f>
        <v>PASS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">
        <v>2.0</v>
      </c>
      <c r="B3" s="9" t="s">
        <v>18</v>
      </c>
      <c r="C3" s="10" t="s">
        <v>14</v>
      </c>
      <c r="D3" s="8" t="s">
        <v>15</v>
      </c>
      <c r="E3" s="10" t="s">
        <v>16</v>
      </c>
      <c r="F3" s="8" t="s">
        <v>17</v>
      </c>
      <c r="G3" s="8">
        <v>7.0</v>
      </c>
      <c r="H3" s="8">
        <v>16.0</v>
      </c>
      <c r="I3" s="8">
        <v>0.0</v>
      </c>
      <c r="J3" s="8">
        <f t="shared" si="1"/>
        <v>23</v>
      </c>
      <c r="K3" s="8">
        <f t="shared" si="2"/>
        <v>0</v>
      </c>
      <c r="L3" s="8" t="str">
        <f t="shared" si="3"/>
        <v>F</v>
      </c>
      <c r="M3" s="8" t="str">
        <f t="shared" si="4"/>
        <v>FAIL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>
        <v>3.0</v>
      </c>
      <c r="B4" s="9" t="s">
        <v>19</v>
      </c>
      <c r="C4" s="10" t="s">
        <v>14</v>
      </c>
      <c r="D4" s="8" t="s">
        <v>15</v>
      </c>
      <c r="E4" s="10" t="s">
        <v>16</v>
      </c>
      <c r="F4" s="8" t="s">
        <v>17</v>
      </c>
      <c r="G4" s="8">
        <v>44.0</v>
      </c>
      <c r="H4" s="8">
        <v>20.0</v>
      </c>
      <c r="I4" s="8">
        <v>23.0</v>
      </c>
      <c r="J4" s="8">
        <f t="shared" si="1"/>
        <v>87</v>
      </c>
      <c r="K4" s="8">
        <f t="shared" si="2"/>
        <v>5</v>
      </c>
      <c r="L4" s="8" t="str">
        <f t="shared" si="3"/>
        <v>A+</v>
      </c>
      <c r="M4" s="8" t="str">
        <f t="shared" si="4"/>
        <v>PASS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>
        <v>4.0</v>
      </c>
      <c r="B5" s="9" t="s">
        <v>20</v>
      </c>
      <c r="C5" s="10" t="s">
        <v>14</v>
      </c>
      <c r="D5" s="8" t="s">
        <v>15</v>
      </c>
      <c r="E5" s="10" t="s">
        <v>16</v>
      </c>
      <c r="F5" s="8" t="s">
        <v>17</v>
      </c>
      <c r="G5" s="8">
        <v>39.0</v>
      </c>
      <c r="H5" s="8">
        <v>18.0</v>
      </c>
      <c r="I5" s="8">
        <v>23.0</v>
      </c>
      <c r="J5" s="8">
        <f t="shared" si="1"/>
        <v>80</v>
      </c>
      <c r="K5" s="8">
        <f t="shared" si="2"/>
        <v>5</v>
      </c>
      <c r="L5" s="8" t="str">
        <f t="shared" si="3"/>
        <v>A+</v>
      </c>
      <c r="M5" s="8" t="str">
        <f t="shared" si="4"/>
        <v>PASS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>
        <v>5.0</v>
      </c>
      <c r="B6" s="11" t="s">
        <v>21</v>
      </c>
      <c r="C6" s="10" t="s">
        <v>14</v>
      </c>
      <c r="D6" s="8" t="s">
        <v>15</v>
      </c>
      <c r="E6" s="10" t="s">
        <v>16</v>
      </c>
      <c r="F6" s="8" t="s">
        <v>17</v>
      </c>
      <c r="G6" s="8">
        <v>45.0</v>
      </c>
      <c r="H6" s="8">
        <v>13.0</v>
      </c>
      <c r="I6" s="8">
        <v>23.0</v>
      </c>
      <c r="J6" s="8">
        <f t="shared" si="1"/>
        <v>81</v>
      </c>
      <c r="K6" s="8">
        <f t="shared" si="2"/>
        <v>5</v>
      </c>
      <c r="L6" s="8" t="str">
        <f t="shared" si="3"/>
        <v>A+</v>
      </c>
      <c r="M6" s="8" t="str">
        <f t="shared" si="4"/>
        <v>PASS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>
        <v>6.0</v>
      </c>
      <c r="B7" s="9" t="s">
        <v>22</v>
      </c>
      <c r="C7" s="10" t="s">
        <v>14</v>
      </c>
      <c r="D7" s="8" t="s">
        <v>15</v>
      </c>
      <c r="E7" s="10" t="s">
        <v>16</v>
      </c>
      <c r="F7" s="8" t="s">
        <v>17</v>
      </c>
      <c r="G7" s="8">
        <v>17.0</v>
      </c>
      <c r="H7" s="8">
        <v>13.0</v>
      </c>
      <c r="I7" s="8">
        <v>15.0</v>
      </c>
      <c r="J7" s="8">
        <f t="shared" si="1"/>
        <v>45</v>
      </c>
      <c r="K7" s="8">
        <f t="shared" si="2"/>
        <v>2</v>
      </c>
      <c r="L7" s="8" t="str">
        <f t="shared" si="3"/>
        <v>C</v>
      </c>
      <c r="M7" s="8" t="str">
        <f t="shared" si="4"/>
        <v>PASS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2">
        <v>1.0</v>
      </c>
      <c r="B8" s="13" t="s">
        <v>23</v>
      </c>
      <c r="C8" s="10" t="s">
        <v>14</v>
      </c>
      <c r="D8" s="12" t="s">
        <v>15</v>
      </c>
      <c r="E8" s="10" t="s">
        <v>16</v>
      </c>
      <c r="F8" s="12" t="s">
        <v>24</v>
      </c>
      <c r="G8" s="12"/>
      <c r="H8" s="12"/>
      <c r="I8" s="12"/>
      <c r="J8" s="12">
        <f t="shared" si="1"/>
        <v>0</v>
      </c>
      <c r="K8" s="8">
        <f t="shared" si="2"/>
        <v>0</v>
      </c>
      <c r="L8" s="8" t="str">
        <f t="shared" si="3"/>
        <v>F</v>
      </c>
      <c r="M8" s="8" t="str">
        <f t="shared" si="4"/>
        <v>FAIL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8">
        <v>2.0</v>
      </c>
      <c r="B9" s="9" t="s">
        <v>25</v>
      </c>
      <c r="C9" s="10" t="s">
        <v>14</v>
      </c>
      <c r="D9" s="8" t="s">
        <v>15</v>
      </c>
      <c r="E9" s="10" t="s">
        <v>16</v>
      </c>
      <c r="F9" s="8" t="s">
        <v>24</v>
      </c>
      <c r="G9" s="8">
        <v>6.0</v>
      </c>
      <c r="H9" s="8">
        <v>13.0</v>
      </c>
      <c r="I9" s="8">
        <v>0.0</v>
      </c>
      <c r="J9" s="8">
        <f t="shared" si="1"/>
        <v>19</v>
      </c>
      <c r="K9" s="8">
        <f t="shared" si="2"/>
        <v>0</v>
      </c>
      <c r="L9" s="8" t="str">
        <f t="shared" si="3"/>
        <v>F</v>
      </c>
      <c r="M9" s="8" t="str">
        <f t="shared" si="4"/>
        <v>FAIL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>
        <v>3.0</v>
      </c>
      <c r="B10" s="9" t="s">
        <v>23</v>
      </c>
      <c r="C10" s="10" t="s">
        <v>14</v>
      </c>
      <c r="D10" s="8" t="s">
        <v>15</v>
      </c>
      <c r="E10" s="10" t="s">
        <v>16</v>
      </c>
      <c r="F10" s="8" t="s">
        <v>24</v>
      </c>
      <c r="G10" s="8"/>
      <c r="H10" s="8"/>
      <c r="I10" s="8"/>
      <c r="J10" s="8">
        <f t="shared" si="1"/>
        <v>0</v>
      </c>
      <c r="K10" s="8">
        <f t="shared" si="2"/>
        <v>0</v>
      </c>
      <c r="L10" s="8" t="str">
        <f t="shared" si="3"/>
        <v>F</v>
      </c>
      <c r="M10" s="8" t="str">
        <f t="shared" si="4"/>
        <v>FAIL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>
        <v>4.0</v>
      </c>
      <c r="B11" s="9" t="s">
        <v>26</v>
      </c>
      <c r="C11" s="10" t="s">
        <v>14</v>
      </c>
      <c r="D11" s="8" t="s">
        <v>15</v>
      </c>
      <c r="E11" s="10" t="s">
        <v>16</v>
      </c>
      <c r="F11" s="8" t="s">
        <v>24</v>
      </c>
      <c r="G11" s="8">
        <v>42.0</v>
      </c>
      <c r="H11" s="8">
        <v>16.0</v>
      </c>
      <c r="I11" s="8">
        <v>23.0</v>
      </c>
      <c r="J11" s="8">
        <f t="shared" si="1"/>
        <v>81</v>
      </c>
      <c r="K11" s="8">
        <f t="shared" si="2"/>
        <v>5</v>
      </c>
      <c r="L11" s="8" t="str">
        <f t="shared" si="3"/>
        <v>A+</v>
      </c>
      <c r="M11" s="8" t="str">
        <f t="shared" si="4"/>
        <v>PASS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>
        <v>5.0</v>
      </c>
      <c r="B12" s="9" t="s">
        <v>27</v>
      </c>
      <c r="C12" s="10" t="s">
        <v>14</v>
      </c>
      <c r="D12" s="8" t="s">
        <v>15</v>
      </c>
      <c r="E12" s="10" t="s">
        <v>16</v>
      </c>
      <c r="F12" s="8" t="s">
        <v>24</v>
      </c>
      <c r="G12" s="8">
        <v>50.0</v>
      </c>
      <c r="H12" s="8">
        <v>17.0</v>
      </c>
      <c r="I12" s="8">
        <v>23.0</v>
      </c>
      <c r="J12" s="8">
        <f t="shared" si="1"/>
        <v>90</v>
      </c>
      <c r="K12" s="8">
        <f t="shared" si="2"/>
        <v>5</v>
      </c>
      <c r="L12" s="8" t="str">
        <f t="shared" si="3"/>
        <v>A+</v>
      </c>
      <c r="M12" s="8" t="str">
        <f t="shared" si="4"/>
        <v>PASS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>
        <v>6.0</v>
      </c>
      <c r="B13" s="9" t="s">
        <v>23</v>
      </c>
      <c r="C13" s="10" t="s">
        <v>14</v>
      </c>
      <c r="D13" s="8" t="s">
        <v>15</v>
      </c>
      <c r="E13" s="10" t="s">
        <v>16</v>
      </c>
      <c r="F13" s="8" t="s">
        <v>24</v>
      </c>
      <c r="G13" s="8"/>
      <c r="H13" s="8"/>
      <c r="I13" s="8"/>
      <c r="J13" s="8">
        <f t="shared" si="1"/>
        <v>0</v>
      </c>
      <c r="K13" s="8">
        <f t="shared" si="2"/>
        <v>0</v>
      </c>
      <c r="L13" s="8" t="str">
        <f t="shared" si="3"/>
        <v>F</v>
      </c>
      <c r="M13" s="8" t="str">
        <f t="shared" si="4"/>
        <v>FAIL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>
        <v>7.0</v>
      </c>
      <c r="B14" s="9" t="s">
        <v>28</v>
      </c>
      <c r="C14" s="10" t="s">
        <v>14</v>
      </c>
      <c r="D14" s="8" t="s">
        <v>15</v>
      </c>
      <c r="E14" s="10" t="s">
        <v>16</v>
      </c>
      <c r="F14" s="8" t="s">
        <v>24</v>
      </c>
      <c r="G14" s="8">
        <v>46.0</v>
      </c>
      <c r="H14" s="8">
        <v>23.0</v>
      </c>
      <c r="I14" s="8">
        <v>23.0</v>
      </c>
      <c r="J14" s="8">
        <f t="shared" si="1"/>
        <v>92</v>
      </c>
      <c r="K14" s="8">
        <f t="shared" si="2"/>
        <v>5</v>
      </c>
      <c r="L14" s="8" t="str">
        <f t="shared" si="3"/>
        <v>A+</v>
      </c>
      <c r="M14" s="8" t="str">
        <f t="shared" si="4"/>
        <v>PASS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>
        <v>8.0</v>
      </c>
      <c r="B15" s="9" t="s">
        <v>29</v>
      </c>
      <c r="C15" s="10" t="s">
        <v>14</v>
      </c>
      <c r="D15" s="8" t="s">
        <v>15</v>
      </c>
      <c r="E15" s="10" t="s">
        <v>16</v>
      </c>
      <c r="F15" s="8" t="s">
        <v>24</v>
      </c>
      <c r="G15" s="8"/>
      <c r="H15" s="8"/>
      <c r="I15" s="8"/>
      <c r="J15" s="8">
        <f t="shared" si="1"/>
        <v>0</v>
      </c>
      <c r="K15" s="8">
        <f t="shared" si="2"/>
        <v>0</v>
      </c>
      <c r="L15" s="8" t="str">
        <f t="shared" si="3"/>
        <v>F</v>
      </c>
      <c r="M15" s="8" t="str">
        <f t="shared" si="4"/>
        <v>FAIL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>
        <v>9.0</v>
      </c>
      <c r="B16" s="9" t="s">
        <v>30</v>
      </c>
      <c r="C16" s="10" t="s">
        <v>14</v>
      </c>
      <c r="D16" s="8" t="s">
        <v>15</v>
      </c>
      <c r="E16" s="10" t="s">
        <v>16</v>
      </c>
      <c r="F16" s="8" t="s">
        <v>24</v>
      </c>
      <c r="G16" s="8">
        <v>50.0</v>
      </c>
      <c r="H16" s="8">
        <v>20.0</v>
      </c>
      <c r="I16" s="8">
        <v>23.0</v>
      </c>
      <c r="J16" s="8">
        <f t="shared" si="1"/>
        <v>93</v>
      </c>
      <c r="K16" s="8">
        <f t="shared" si="2"/>
        <v>5</v>
      </c>
      <c r="L16" s="8" t="str">
        <f t="shared" si="3"/>
        <v>A+</v>
      </c>
      <c r="M16" s="8" t="str">
        <f t="shared" si="4"/>
        <v>PASS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>
        <v>10.0</v>
      </c>
      <c r="B17" s="9" t="s">
        <v>31</v>
      </c>
      <c r="C17" s="10" t="s">
        <v>14</v>
      </c>
      <c r="D17" s="8" t="s">
        <v>15</v>
      </c>
      <c r="E17" s="10" t="s">
        <v>16</v>
      </c>
      <c r="F17" s="8" t="s">
        <v>24</v>
      </c>
      <c r="G17" s="8">
        <v>28.0</v>
      </c>
      <c r="H17" s="8">
        <v>14.0</v>
      </c>
      <c r="I17" s="8">
        <v>15.0</v>
      </c>
      <c r="J17" s="8">
        <f t="shared" si="1"/>
        <v>57</v>
      </c>
      <c r="K17" s="8">
        <f t="shared" si="2"/>
        <v>3</v>
      </c>
      <c r="L17" s="8" t="str">
        <f t="shared" si="3"/>
        <v>B</v>
      </c>
      <c r="M17" s="8" t="str">
        <f t="shared" si="4"/>
        <v>PASS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>
        <v>11.0</v>
      </c>
      <c r="B18" s="9" t="s">
        <v>32</v>
      </c>
      <c r="C18" s="10" t="s">
        <v>14</v>
      </c>
      <c r="D18" s="8" t="s">
        <v>15</v>
      </c>
      <c r="E18" s="10" t="s">
        <v>16</v>
      </c>
      <c r="F18" s="8" t="s">
        <v>24</v>
      </c>
      <c r="G18" s="8">
        <v>4.0</v>
      </c>
      <c r="H18" s="8">
        <v>12.0</v>
      </c>
      <c r="I18" s="8">
        <v>0.0</v>
      </c>
      <c r="J18" s="8">
        <f t="shared" si="1"/>
        <v>16</v>
      </c>
      <c r="K18" s="8">
        <f t="shared" si="2"/>
        <v>0</v>
      </c>
      <c r="L18" s="8" t="str">
        <f t="shared" si="3"/>
        <v>F</v>
      </c>
      <c r="M18" s="8" t="str">
        <f t="shared" si="4"/>
        <v>FAIL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>
        <v>12.0</v>
      </c>
      <c r="B19" s="9" t="s">
        <v>33</v>
      </c>
      <c r="C19" s="10" t="s">
        <v>14</v>
      </c>
      <c r="D19" s="8" t="s">
        <v>15</v>
      </c>
      <c r="E19" s="10" t="s">
        <v>16</v>
      </c>
      <c r="F19" s="8" t="s">
        <v>24</v>
      </c>
      <c r="G19" s="8"/>
      <c r="H19" s="8"/>
      <c r="I19" s="8"/>
      <c r="J19" s="8">
        <f t="shared" si="1"/>
        <v>0</v>
      </c>
      <c r="K19" s="8">
        <f t="shared" si="2"/>
        <v>0</v>
      </c>
      <c r="L19" s="8" t="str">
        <f t="shared" si="3"/>
        <v>F</v>
      </c>
      <c r="M19" s="8" t="str">
        <f t="shared" si="4"/>
        <v>FAIL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>
        <v>13.0</v>
      </c>
      <c r="B20" s="9" t="s">
        <v>34</v>
      </c>
      <c r="C20" s="10" t="s">
        <v>14</v>
      </c>
      <c r="D20" s="8" t="s">
        <v>15</v>
      </c>
      <c r="E20" s="10" t="s">
        <v>16</v>
      </c>
      <c r="F20" s="8" t="s">
        <v>24</v>
      </c>
      <c r="G20" s="8">
        <v>9.0</v>
      </c>
      <c r="H20" s="8">
        <v>5.0</v>
      </c>
      <c r="I20" s="8">
        <v>0.0</v>
      </c>
      <c r="J20" s="8">
        <f t="shared" si="1"/>
        <v>14</v>
      </c>
      <c r="K20" s="8">
        <f t="shared" si="2"/>
        <v>0</v>
      </c>
      <c r="L20" s="8" t="str">
        <f t="shared" si="3"/>
        <v>F</v>
      </c>
      <c r="M20" s="8" t="str">
        <f t="shared" si="4"/>
        <v>FAIL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>
        <v>14.0</v>
      </c>
      <c r="B21" s="9" t="s">
        <v>35</v>
      </c>
      <c r="C21" s="10" t="s">
        <v>14</v>
      </c>
      <c r="D21" s="8" t="s">
        <v>15</v>
      </c>
      <c r="E21" s="10" t="s">
        <v>16</v>
      </c>
      <c r="F21" s="8" t="s">
        <v>24</v>
      </c>
      <c r="G21" s="8"/>
      <c r="H21" s="8"/>
      <c r="I21" s="8"/>
      <c r="J21" s="8">
        <f t="shared" si="1"/>
        <v>0</v>
      </c>
      <c r="K21" s="8">
        <f t="shared" si="2"/>
        <v>0</v>
      </c>
      <c r="L21" s="8" t="str">
        <f t="shared" si="3"/>
        <v>F</v>
      </c>
      <c r="M21" s="8" t="str">
        <f t="shared" si="4"/>
        <v>FAIL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>
        <v>15.0</v>
      </c>
      <c r="B22" s="9" t="s">
        <v>36</v>
      </c>
      <c r="C22" s="10" t="s">
        <v>14</v>
      </c>
      <c r="D22" s="8" t="s">
        <v>15</v>
      </c>
      <c r="E22" s="10" t="s">
        <v>16</v>
      </c>
      <c r="F22" s="8" t="s">
        <v>24</v>
      </c>
      <c r="G22" s="8">
        <v>32.0</v>
      </c>
      <c r="H22" s="8">
        <v>20.0</v>
      </c>
      <c r="I22" s="8">
        <v>20.0</v>
      </c>
      <c r="J22" s="8">
        <f t="shared" si="1"/>
        <v>72</v>
      </c>
      <c r="K22" s="8">
        <f t="shared" si="2"/>
        <v>4</v>
      </c>
      <c r="L22" s="8" t="str">
        <f t="shared" si="3"/>
        <v>A</v>
      </c>
      <c r="M22" s="8" t="str">
        <f t="shared" si="4"/>
        <v>PASS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>
        <v>16.0</v>
      </c>
      <c r="B23" s="11" t="s">
        <v>37</v>
      </c>
      <c r="C23" s="10" t="s">
        <v>14</v>
      </c>
      <c r="D23" s="8" t="s">
        <v>15</v>
      </c>
      <c r="E23" s="10" t="s">
        <v>16</v>
      </c>
      <c r="F23" s="8" t="s">
        <v>24</v>
      </c>
      <c r="G23" s="8">
        <v>7.0</v>
      </c>
      <c r="H23" s="8">
        <v>6.0</v>
      </c>
      <c r="I23" s="8">
        <v>0.0</v>
      </c>
      <c r="J23" s="8">
        <f t="shared" si="1"/>
        <v>13</v>
      </c>
      <c r="K23" s="8">
        <f t="shared" si="2"/>
        <v>0</v>
      </c>
      <c r="L23" s="8" t="str">
        <f t="shared" si="3"/>
        <v>F</v>
      </c>
      <c r="M23" s="8" t="str">
        <f t="shared" si="4"/>
        <v>FAIL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>
        <v>17.0</v>
      </c>
      <c r="B24" s="9" t="s">
        <v>38</v>
      </c>
      <c r="C24" s="10" t="s">
        <v>14</v>
      </c>
      <c r="D24" s="8" t="s">
        <v>15</v>
      </c>
      <c r="E24" s="10" t="s">
        <v>16</v>
      </c>
      <c r="F24" s="8" t="s">
        <v>24</v>
      </c>
      <c r="G24" s="8">
        <v>48.0</v>
      </c>
      <c r="H24" s="8">
        <v>22.0</v>
      </c>
      <c r="I24" s="8">
        <v>23.0</v>
      </c>
      <c r="J24" s="8">
        <f t="shared" si="1"/>
        <v>93</v>
      </c>
      <c r="K24" s="8">
        <f t="shared" si="2"/>
        <v>5</v>
      </c>
      <c r="L24" s="8" t="str">
        <f t="shared" si="3"/>
        <v>A+</v>
      </c>
      <c r="M24" s="8" t="str">
        <f t="shared" si="4"/>
        <v>PASS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>
        <v>18.0</v>
      </c>
      <c r="B25" s="9" t="s">
        <v>39</v>
      </c>
      <c r="C25" s="10" t="s">
        <v>14</v>
      </c>
      <c r="D25" s="8" t="s">
        <v>15</v>
      </c>
      <c r="E25" s="10" t="s">
        <v>16</v>
      </c>
      <c r="F25" s="8" t="s">
        <v>24</v>
      </c>
      <c r="G25" s="8">
        <v>17.0</v>
      </c>
      <c r="H25" s="8">
        <v>9.0</v>
      </c>
      <c r="I25" s="8">
        <v>15.0</v>
      </c>
      <c r="J25" s="8">
        <f t="shared" si="1"/>
        <v>41</v>
      </c>
      <c r="K25" s="8">
        <f t="shared" si="2"/>
        <v>2</v>
      </c>
      <c r="L25" s="8" t="str">
        <f t="shared" si="3"/>
        <v>C</v>
      </c>
      <c r="M25" s="8" t="str">
        <f t="shared" si="4"/>
        <v>PASS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>
        <v>19.0</v>
      </c>
      <c r="B26" s="9" t="s">
        <v>40</v>
      </c>
      <c r="C26" s="10" t="s">
        <v>14</v>
      </c>
      <c r="D26" s="8" t="s">
        <v>15</v>
      </c>
      <c r="E26" s="10" t="s">
        <v>16</v>
      </c>
      <c r="F26" s="8" t="s">
        <v>24</v>
      </c>
      <c r="G26" s="8">
        <v>5.0</v>
      </c>
      <c r="H26" s="8">
        <v>9.0</v>
      </c>
      <c r="I26" s="8">
        <v>0.0</v>
      </c>
      <c r="J26" s="8">
        <f t="shared" si="1"/>
        <v>14</v>
      </c>
      <c r="K26" s="8">
        <f t="shared" si="2"/>
        <v>0</v>
      </c>
      <c r="L26" s="8" t="str">
        <f t="shared" si="3"/>
        <v>F</v>
      </c>
      <c r="M26" s="8" t="str">
        <f t="shared" si="4"/>
        <v>FAIL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>
        <v>20.0</v>
      </c>
      <c r="B27" s="9" t="s">
        <v>41</v>
      </c>
      <c r="C27" s="10" t="s">
        <v>14</v>
      </c>
      <c r="D27" s="8" t="s">
        <v>15</v>
      </c>
      <c r="E27" s="10" t="s">
        <v>16</v>
      </c>
      <c r="F27" s="8" t="s">
        <v>24</v>
      </c>
      <c r="G27" s="8">
        <v>18.0</v>
      </c>
      <c r="H27" s="8">
        <v>10.0</v>
      </c>
      <c r="I27" s="8">
        <v>15.0</v>
      </c>
      <c r="J27" s="8">
        <f t="shared" si="1"/>
        <v>43</v>
      </c>
      <c r="K27" s="8">
        <f t="shared" si="2"/>
        <v>2</v>
      </c>
      <c r="L27" s="8" t="str">
        <f t="shared" si="3"/>
        <v>C</v>
      </c>
      <c r="M27" s="8" t="str">
        <f t="shared" si="4"/>
        <v>PASS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>
        <v>21.0</v>
      </c>
      <c r="B28" s="9" t="s">
        <v>42</v>
      </c>
      <c r="C28" s="10" t="s">
        <v>14</v>
      </c>
      <c r="D28" s="8" t="s">
        <v>15</v>
      </c>
      <c r="E28" s="10" t="s">
        <v>16</v>
      </c>
      <c r="F28" s="8" t="s">
        <v>24</v>
      </c>
      <c r="G28" s="8">
        <v>18.0</v>
      </c>
      <c r="H28" s="8">
        <v>10.0</v>
      </c>
      <c r="I28" s="8">
        <v>15.0</v>
      </c>
      <c r="J28" s="8">
        <f t="shared" si="1"/>
        <v>43</v>
      </c>
      <c r="K28" s="8">
        <f t="shared" si="2"/>
        <v>2</v>
      </c>
      <c r="L28" s="8" t="str">
        <f t="shared" si="3"/>
        <v>C</v>
      </c>
      <c r="M28" s="8" t="str">
        <f t="shared" si="4"/>
        <v>PASS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>
        <v>22.0</v>
      </c>
      <c r="B29" s="9" t="s">
        <v>43</v>
      </c>
      <c r="C29" s="10" t="s">
        <v>14</v>
      </c>
      <c r="D29" s="8" t="s">
        <v>15</v>
      </c>
      <c r="E29" s="10" t="s">
        <v>16</v>
      </c>
      <c r="F29" s="8" t="s">
        <v>24</v>
      </c>
      <c r="G29" s="8">
        <v>30.0</v>
      </c>
      <c r="H29" s="8">
        <v>12.0</v>
      </c>
      <c r="I29" s="8">
        <v>20.0</v>
      </c>
      <c r="J29" s="8">
        <f t="shared" si="1"/>
        <v>62</v>
      </c>
      <c r="K29" s="8">
        <f t="shared" si="2"/>
        <v>3.5</v>
      </c>
      <c r="L29" s="8" t="str">
        <f t="shared" si="3"/>
        <v>A-</v>
      </c>
      <c r="M29" s="8" t="str">
        <f t="shared" si="4"/>
        <v>PASS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>
        <v>23.0</v>
      </c>
      <c r="B30" s="9" t="s">
        <v>23</v>
      </c>
      <c r="C30" s="10" t="s">
        <v>14</v>
      </c>
      <c r="D30" s="8" t="s">
        <v>15</v>
      </c>
      <c r="E30" s="10" t="s">
        <v>16</v>
      </c>
      <c r="F30" s="8" t="s">
        <v>24</v>
      </c>
      <c r="G30" s="8"/>
      <c r="H30" s="8"/>
      <c r="I30" s="8"/>
      <c r="J30" s="8">
        <f t="shared" si="1"/>
        <v>0</v>
      </c>
      <c r="K30" s="8">
        <f t="shared" si="2"/>
        <v>0</v>
      </c>
      <c r="L30" s="8" t="str">
        <f t="shared" si="3"/>
        <v>F</v>
      </c>
      <c r="M30" s="8" t="str">
        <f t="shared" si="4"/>
        <v>FAIL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>
        <v>24.0</v>
      </c>
      <c r="B31" s="9" t="s">
        <v>44</v>
      </c>
      <c r="C31" s="10" t="s">
        <v>14</v>
      </c>
      <c r="D31" s="8" t="s">
        <v>15</v>
      </c>
      <c r="E31" s="10" t="s">
        <v>16</v>
      </c>
      <c r="F31" s="8" t="s">
        <v>24</v>
      </c>
      <c r="G31" s="8">
        <v>21.0</v>
      </c>
      <c r="H31" s="8">
        <v>14.0</v>
      </c>
      <c r="I31" s="8">
        <v>15.0</v>
      </c>
      <c r="J31" s="8">
        <f t="shared" si="1"/>
        <v>50</v>
      </c>
      <c r="K31" s="8">
        <f t="shared" si="2"/>
        <v>3</v>
      </c>
      <c r="L31" s="8" t="str">
        <f t="shared" si="3"/>
        <v>B</v>
      </c>
      <c r="M31" s="8" t="str">
        <f t="shared" si="4"/>
        <v>PASS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>
        <v>25.0</v>
      </c>
      <c r="B32" s="9" t="s">
        <v>45</v>
      </c>
      <c r="C32" s="10" t="s">
        <v>14</v>
      </c>
      <c r="D32" s="8" t="s">
        <v>15</v>
      </c>
      <c r="E32" s="10" t="s">
        <v>16</v>
      </c>
      <c r="F32" s="8" t="s">
        <v>24</v>
      </c>
      <c r="G32" s="8">
        <v>26.0</v>
      </c>
      <c r="H32" s="8">
        <v>18.0</v>
      </c>
      <c r="I32" s="8">
        <v>15.0</v>
      </c>
      <c r="J32" s="8">
        <f t="shared" si="1"/>
        <v>59</v>
      </c>
      <c r="K32" s="8">
        <f t="shared" si="2"/>
        <v>3</v>
      </c>
      <c r="L32" s="8" t="str">
        <f t="shared" si="3"/>
        <v>B</v>
      </c>
      <c r="M32" s="8" t="str">
        <f t="shared" si="4"/>
        <v>PASS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>
        <v>26.0</v>
      </c>
      <c r="B33" s="9" t="s">
        <v>46</v>
      </c>
      <c r="C33" s="10" t="s">
        <v>14</v>
      </c>
      <c r="D33" s="8" t="s">
        <v>15</v>
      </c>
      <c r="E33" s="10" t="s">
        <v>16</v>
      </c>
      <c r="F33" s="8" t="s">
        <v>24</v>
      </c>
      <c r="G33" s="8">
        <v>12.0</v>
      </c>
      <c r="H33" s="8">
        <v>7.0</v>
      </c>
      <c r="I33" s="8">
        <v>0.0</v>
      </c>
      <c r="J33" s="8">
        <f t="shared" si="1"/>
        <v>19</v>
      </c>
      <c r="K33" s="8">
        <f t="shared" si="2"/>
        <v>0</v>
      </c>
      <c r="L33" s="8" t="str">
        <f t="shared" si="3"/>
        <v>F</v>
      </c>
      <c r="M33" s="8" t="str">
        <f t="shared" si="4"/>
        <v>FAIL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>
        <v>27.0</v>
      </c>
      <c r="B34" s="9" t="s">
        <v>47</v>
      </c>
      <c r="C34" s="10" t="s">
        <v>14</v>
      </c>
      <c r="D34" s="8" t="s">
        <v>15</v>
      </c>
      <c r="E34" s="10" t="s">
        <v>16</v>
      </c>
      <c r="F34" s="8" t="s">
        <v>24</v>
      </c>
      <c r="G34" s="8"/>
      <c r="H34" s="8"/>
      <c r="I34" s="8"/>
      <c r="J34" s="8">
        <f t="shared" si="1"/>
        <v>0</v>
      </c>
      <c r="K34" s="8">
        <f t="shared" si="2"/>
        <v>0</v>
      </c>
      <c r="L34" s="8" t="str">
        <f t="shared" si="3"/>
        <v>F</v>
      </c>
      <c r="M34" s="8" t="str">
        <f t="shared" si="4"/>
        <v>FAIL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>
        <v>28.0</v>
      </c>
      <c r="B35" s="9" t="s">
        <v>48</v>
      </c>
      <c r="C35" s="10" t="s">
        <v>14</v>
      </c>
      <c r="D35" s="8" t="s">
        <v>15</v>
      </c>
      <c r="E35" s="10" t="s">
        <v>16</v>
      </c>
      <c r="F35" s="8" t="s">
        <v>24</v>
      </c>
      <c r="G35" s="8"/>
      <c r="H35" s="8"/>
      <c r="I35" s="8"/>
      <c r="J35" s="8">
        <f t="shared" si="1"/>
        <v>0</v>
      </c>
      <c r="K35" s="8">
        <f t="shared" si="2"/>
        <v>0</v>
      </c>
      <c r="L35" s="8" t="str">
        <f t="shared" si="3"/>
        <v>F</v>
      </c>
      <c r="M35" s="8" t="str">
        <f t="shared" si="4"/>
        <v>FAIL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>
        <v>29.0</v>
      </c>
      <c r="B36" s="9" t="s">
        <v>49</v>
      </c>
      <c r="C36" s="10" t="s">
        <v>14</v>
      </c>
      <c r="D36" s="8" t="s">
        <v>15</v>
      </c>
      <c r="E36" s="10" t="s">
        <v>16</v>
      </c>
      <c r="F36" s="8" t="s">
        <v>24</v>
      </c>
      <c r="G36" s="8">
        <v>7.0</v>
      </c>
      <c r="H36" s="8">
        <v>9.0</v>
      </c>
      <c r="I36" s="8">
        <v>0.0</v>
      </c>
      <c r="J36" s="8">
        <f t="shared" si="1"/>
        <v>16</v>
      </c>
      <c r="K36" s="8">
        <f t="shared" si="2"/>
        <v>0</v>
      </c>
      <c r="L36" s="8" t="str">
        <f t="shared" si="3"/>
        <v>F</v>
      </c>
      <c r="M36" s="8" t="str">
        <f t="shared" si="4"/>
        <v>FAIL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>
        <v>30.0</v>
      </c>
      <c r="B37" s="9" t="s">
        <v>50</v>
      </c>
      <c r="C37" s="10" t="s">
        <v>14</v>
      </c>
      <c r="D37" s="8" t="s">
        <v>15</v>
      </c>
      <c r="E37" s="10" t="s">
        <v>16</v>
      </c>
      <c r="F37" s="8" t="s">
        <v>24</v>
      </c>
      <c r="G37" s="8"/>
      <c r="H37" s="8"/>
      <c r="I37" s="8"/>
      <c r="J37" s="8">
        <f t="shared" si="1"/>
        <v>0</v>
      </c>
      <c r="K37" s="8">
        <f t="shared" si="2"/>
        <v>0</v>
      </c>
      <c r="L37" s="8" t="str">
        <f t="shared" si="3"/>
        <v>F</v>
      </c>
      <c r="M37" s="8" t="str">
        <f t="shared" si="4"/>
        <v>FAIL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4">
        <v>1.0</v>
      </c>
      <c r="B38" s="11" t="s">
        <v>51</v>
      </c>
      <c r="C38" s="10" t="s">
        <v>14</v>
      </c>
      <c r="D38" s="14" t="s">
        <v>15</v>
      </c>
      <c r="E38" s="10" t="s">
        <v>16</v>
      </c>
      <c r="F38" s="14" t="s">
        <v>52</v>
      </c>
      <c r="G38" s="14">
        <v>38.0</v>
      </c>
      <c r="H38" s="14">
        <v>12.0</v>
      </c>
      <c r="I38" s="14">
        <v>23.0</v>
      </c>
      <c r="J38" s="14">
        <f t="shared" si="1"/>
        <v>73</v>
      </c>
      <c r="K38" s="8">
        <f t="shared" si="2"/>
        <v>4</v>
      </c>
      <c r="L38" s="8" t="str">
        <f t="shared" si="3"/>
        <v>A</v>
      </c>
      <c r="M38" s="8" t="str">
        <f t="shared" si="4"/>
        <v>PASS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8">
        <v>2.0</v>
      </c>
      <c r="B39" s="11" t="s">
        <v>53</v>
      </c>
      <c r="C39" s="10" t="s">
        <v>14</v>
      </c>
      <c r="D39" s="8" t="s">
        <v>15</v>
      </c>
      <c r="E39" s="10" t="s">
        <v>16</v>
      </c>
      <c r="F39" s="8" t="s">
        <v>52</v>
      </c>
      <c r="G39" s="8">
        <v>14.0</v>
      </c>
      <c r="H39" s="8">
        <v>14.0</v>
      </c>
      <c r="I39" s="8">
        <v>0.0</v>
      </c>
      <c r="J39" s="8">
        <f t="shared" si="1"/>
        <v>28</v>
      </c>
      <c r="K39" s="8">
        <f t="shared" si="2"/>
        <v>0</v>
      </c>
      <c r="L39" s="8" t="str">
        <f t="shared" si="3"/>
        <v>F</v>
      </c>
      <c r="M39" s="8" t="str">
        <f t="shared" si="4"/>
        <v>FAIL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>
        <v>3.0</v>
      </c>
      <c r="B40" s="11" t="s">
        <v>54</v>
      </c>
      <c r="C40" s="10" t="s">
        <v>14</v>
      </c>
      <c r="D40" s="8" t="s">
        <v>15</v>
      </c>
      <c r="E40" s="10" t="s">
        <v>16</v>
      </c>
      <c r="F40" s="8" t="s">
        <v>52</v>
      </c>
      <c r="G40" s="8">
        <v>5.0</v>
      </c>
      <c r="H40" s="8">
        <v>13.0</v>
      </c>
      <c r="I40" s="8">
        <v>0.0</v>
      </c>
      <c r="J40" s="8">
        <f t="shared" si="1"/>
        <v>18</v>
      </c>
      <c r="K40" s="8">
        <f t="shared" si="2"/>
        <v>0</v>
      </c>
      <c r="L40" s="8" t="str">
        <f t="shared" si="3"/>
        <v>F</v>
      </c>
      <c r="M40" s="8" t="str">
        <f t="shared" si="4"/>
        <v>FAIL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>
        <v>4.0</v>
      </c>
      <c r="B41" s="11" t="s">
        <v>55</v>
      </c>
      <c r="C41" s="10" t="s">
        <v>14</v>
      </c>
      <c r="D41" s="8" t="s">
        <v>15</v>
      </c>
      <c r="E41" s="10" t="s">
        <v>16</v>
      </c>
      <c r="F41" s="8" t="s">
        <v>52</v>
      </c>
      <c r="G41" s="8">
        <v>36.0</v>
      </c>
      <c r="H41" s="8">
        <v>17.0</v>
      </c>
      <c r="I41" s="8">
        <v>23.0</v>
      </c>
      <c r="J41" s="8">
        <f t="shared" si="1"/>
        <v>76</v>
      </c>
      <c r="K41" s="8">
        <f t="shared" si="2"/>
        <v>4</v>
      </c>
      <c r="L41" s="8" t="str">
        <f t="shared" si="3"/>
        <v>A</v>
      </c>
      <c r="M41" s="8" t="str">
        <f t="shared" si="4"/>
        <v>PASS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2">
        <v>5.0</v>
      </c>
      <c r="B42" s="11" t="s">
        <v>56</v>
      </c>
      <c r="C42" s="10" t="s">
        <v>14</v>
      </c>
      <c r="D42" s="8" t="s">
        <v>15</v>
      </c>
      <c r="E42" s="10" t="s">
        <v>16</v>
      </c>
      <c r="F42" s="8" t="s">
        <v>52</v>
      </c>
      <c r="G42" s="8"/>
      <c r="H42" s="8"/>
      <c r="I42" s="8"/>
      <c r="J42" s="8">
        <f t="shared" si="1"/>
        <v>0</v>
      </c>
      <c r="K42" s="8">
        <f t="shared" si="2"/>
        <v>0</v>
      </c>
      <c r="L42" s="8" t="str">
        <f t="shared" si="3"/>
        <v>F</v>
      </c>
      <c r="M42" s="8" t="str">
        <f t="shared" si="4"/>
        <v>FAIL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>
        <v>6.0</v>
      </c>
      <c r="B43" s="11" t="s">
        <v>57</v>
      </c>
      <c r="C43" s="10" t="s">
        <v>14</v>
      </c>
      <c r="D43" s="8" t="s">
        <v>15</v>
      </c>
      <c r="E43" s="10" t="s">
        <v>16</v>
      </c>
      <c r="F43" s="8" t="s">
        <v>52</v>
      </c>
      <c r="G43" s="8">
        <v>13.0</v>
      </c>
      <c r="H43" s="8">
        <v>15.0</v>
      </c>
      <c r="I43" s="8">
        <v>0.0</v>
      </c>
      <c r="J43" s="8">
        <f t="shared" si="1"/>
        <v>28</v>
      </c>
      <c r="K43" s="8">
        <f t="shared" si="2"/>
        <v>0</v>
      </c>
      <c r="L43" s="8" t="str">
        <f t="shared" si="3"/>
        <v>F</v>
      </c>
      <c r="M43" s="8" t="str">
        <f t="shared" si="4"/>
        <v>FAIL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>
        <v>7.0</v>
      </c>
      <c r="B44" s="11" t="s">
        <v>58</v>
      </c>
      <c r="C44" s="10" t="s">
        <v>14</v>
      </c>
      <c r="D44" s="8" t="s">
        <v>15</v>
      </c>
      <c r="E44" s="10" t="s">
        <v>16</v>
      </c>
      <c r="F44" s="8" t="s">
        <v>52</v>
      </c>
      <c r="G44" s="8">
        <v>22.0</v>
      </c>
      <c r="H44" s="8">
        <v>7.0</v>
      </c>
      <c r="I44" s="8">
        <v>15.0</v>
      </c>
      <c r="J44" s="8">
        <f t="shared" si="1"/>
        <v>44</v>
      </c>
      <c r="K44" s="8">
        <f t="shared" si="2"/>
        <v>2</v>
      </c>
      <c r="L44" s="8" t="str">
        <f t="shared" si="3"/>
        <v>C</v>
      </c>
      <c r="M44" s="8" t="str">
        <f t="shared" si="4"/>
        <v>PASS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>
        <v>8.0</v>
      </c>
      <c r="B45" s="11" t="s">
        <v>50</v>
      </c>
      <c r="C45" s="10" t="s">
        <v>14</v>
      </c>
      <c r="D45" s="8" t="s">
        <v>15</v>
      </c>
      <c r="E45" s="10" t="s">
        <v>16</v>
      </c>
      <c r="F45" s="8" t="s">
        <v>52</v>
      </c>
      <c r="G45" s="8">
        <v>2.0</v>
      </c>
      <c r="H45" s="8">
        <v>6.0</v>
      </c>
      <c r="I45" s="8">
        <v>0.0</v>
      </c>
      <c r="J45" s="8">
        <f t="shared" si="1"/>
        <v>8</v>
      </c>
      <c r="K45" s="8">
        <f t="shared" si="2"/>
        <v>0</v>
      </c>
      <c r="L45" s="8" t="str">
        <f t="shared" si="3"/>
        <v>F</v>
      </c>
      <c r="M45" s="8" t="str">
        <f t="shared" si="4"/>
        <v>FAIL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>
        <v>9.0</v>
      </c>
      <c r="B46" s="11" t="s">
        <v>59</v>
      </c>
      <c r="C46" s="10" t="s">
        <v>14</v>
      </c>
      <c r="D46" s="8" t="s">
        <v>15</v>
      </c>
      <c r="E46" s="10" t="s">
        <v>16</v>
      </c>
      <c r="F46" s="8" t="s">
        <v>52</v>
      </c>
      <c r="G46" s="8">
        <v>13.0</v>
      </c>
      <c r="H46" s="8">
        <v>9.0</v>
      </c>
      <c r="I46" s="8">
        <v>0.0</v>
      </c>
      <c r="J46" s="8">
        <f t="shared" si="1"/>
        <v>22</v>
      </c>
      <c r="K46" s="8">
        <f t="shared" si="2"/>
        <v>0</v>
      </c>
      <c r="L46" s="8" t="str">
        <f t="shared" si="3"/>
        <v>F</v>
      </c>
      <c r="M46" s="8" t="str">
        <f t="shared" si="4"/>
        <v>FAIL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>
        <v>10.0</v>
      </c>
      <c r="B47" s="11" t="s">
        <v>60</v>
      </c>
      <c r="C47" s="10" t="s">
        <v>14</v>
      </c>
      <c r="D47" s="8" t="s">
        <v>15</v>
      </c>
      <c r="E47" s="10" t="s">
        <v>16</v>
      </c>
      <c r="F47" s="8" t="s">
        <v>52</v>
      </c>
      <c r="G47" s="8">
        <v>30.0</v>
      </c>
      <c r="H47" s="8">
        <v>14.0</v>
      </c>
      <c r="I47" s="8">
        <v>20.0</v>
      </c>
      <c r="J47" s="8">
        <f t="shared" si="1"/>
        <v>64</v>
      </c>
      <c r="K47" s="8">
        <f t="shared" si="2"/>
        <v>3.5</v>
      </c>
      <c r="L47" s="8" t="str">
        <f t="shared" si="3"/>
        <v>A-</v>
      </c>
      <c r="M47" s="8" t="str">
        <f t="shared" si="4"/>
        <v>PASS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>
        <v>11.0</v>
      </c>
      <c r="B48" s="11" t="s">
        <v>61</v>
      </c>
      <c r="C48" s="10" t="s">
        <v>14</v>
      </c>
      <c r="D48" s="8" t="s">
        <v>15</v>
      </c>
      <c r="E48" s="10" t="s">
        <v>16</v>
      </c>
      <c r="F48" s="8" t="s">
        <v>52</v>
      </c>
      <c r="G48" s="8">
        <v>42.0</v>
      </c>
      <c r="H48" s="8">
        <v>12.0</v>
      </c>
      <c r="I48" s="8">
        <v>23.0</v>
      </c>
      <c r="J48" s="8">
        <f t="shared" si="1"/>
        <v>77</v>
      </c>
      <c r="K48" s="8">
        <f t="shared" si="2"/>
        <v>4</v>
      </c>
      <c r="L48" s="8" t="str">
        <f t="shared" si="3"/>
        <v>A</v>
      </c>
      <c r="M48" s="8" t="str">
        <f t="shared" si="4"/>
        <v>PASS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>
        <v>12.0</v>
      </c>
      <c r="B49" s="9" t="s">
        <v>49</v>
      </c>
      <c r="C49" s="10" t="s">
        <v>14</v>
      </c>
      <c r="D49" s="8" t="s">
        <v>15</v>
      </c>
      <c r="E49" s="10" t="s">
        <v>16</v>
      </c>
      <c r="F49" s="8" t="s">
        <v>52</v>
      </c>
      <c r="G49" s="8">
        <v>15.0</v>
      </c>
      <c r="H49" s="8">
        <v>9.0</v>
      </c>
      <c r="I49" s="8">
        <v>0.0</v>
      </c>
      <c r="J49" s="8">
        <f t="shared" si="1"/>
        <v>24</v>
      </c>
      <c r="K49" s="8">
        <f t="shared" si="2"/>
        <v>0</v>
      </c>
      <c r="L49" s="8" t="str">
        <f t="shared" si="3"/>
        <v>F</v>
      </c>
      <c r="M49" s="8" t="str">
        <f t="shared" si="4"/>
        <v>FAIL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>
        <v>13.0</v>
      </c>
      <c r="B50" s="9" t="s">
        <v>62</v>
      </c>
      <c r="C50" s="10" t="s">
        <v>14</v>
      </c>
      <c r="D50" s="8" t="s">
        <v>15</v>
      </c>
      <c r="E50" s="10" t="s">
        <v>16</v>
      </c>
      <c r="F50" s="8" t="s">
        <v>52</v>
      </c>
      <c r="G50" s="8">
        <v>21.0</v>
      </c>
      <c r="H50" s="8">
        <v>11.0</v>
      </c>
      <c r="I50" s="8">
        <v>15.0</v>
      </c>
      <c r="J50" s="8">
        <f t="shared" si="1"/>
        <v>47</v>
      </c>
      <c r="K50" s="8">
        <f t="shared" si="2"/>
        <v>2</v>
      </c>
      <c r="L50" s="8" t="str">
        <f t="shared" si="3"/>
        <v>C</v>
      </c>
      <c r="M50" s="8" t="str">
        <f t="shared" si="4"/>
        <v>PASS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>
        <v>14.0</v>
      </c>
      <c r="B51" s="9" t="s">
        <v>63</v>
      </c>
      <c r="C51" s="10" t="s">
        <v>14</v>
      </c>
      <c r="D51" s="8" t="s">
        <v>15</v>
      </c>
      <c r="E51" s="10" t="s">
        <v>16</v>
      </c>
      <c r="F51" s="8" t="s">
        <v>52</v>
      </c>
      <c r="G51" s="8">
        <v>4.0</v>
      </c>
      <c r="H51" s="8">
        <v>12.0</v>
      </c>
      <c r="I51" s="8">
        <v>0.0</v>
      </c>
      <c r="J51" s="8">
        <f t="shared" si="1"/>
        <v>16</v>
      </c>
      <c r="K51" s="8">
        <f t="shared" si="2"/>
        <v>0</v>
      </c>
      <c r="L51" s="8" t="str">
        <f t="shared" si="3"/>
        <v>F</v>
      </c>
      <c r="M51" s="8" t="str">
        <f t="shared" si="4"/>
        <v>FAIL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>
        <v>15.0</v>
      </c>
      <c r="B52" s="9" t="s">
        <v>64</v>
      </c>
      <c r="C52" s="10" t="s">
        <v>14</v>
      </c>
      <c r="D52" s="8" t="s">
        <v>15</v>
      </c>
      <c r="E52" s="10" t="s">
        <v>16</v>
      </c>
      <c r="F52" s="8" t="s">
        <v>52</v>
      </c>
      <c r="G52" s="8">
        <v>29.0</v>
      </c>
      <c r="H52" s="8">
        <v>13.0</v>
      </c>
      <c r="I52" s="8">
        <v>20.0</v>
      </c>
      <c r="J52" s="8">
        <f t="shared" si="1"/>
        <v>62</v>
      </c>
      <c r="K52" s="8">
        <f t="shared" si="2"/>
        <v>3.5</v>
      </c>
      <c r="L52" s="8" t="str">
        <f t="shared" si="3"/>
        <v>A-</v>
      </c>
      <c r="M52" s="8" t="str">
        <f t="shared" si="4"/>
        <v>PASS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>
        <v>16.0</v>
      </c>
      <c r="B53" s="9" t="s">
        <v>65</v>
      </c>
      <c r="C53" s="10" t="s">
        <v>14</v>
      </c>
      <c r="D53" s="8" t="s">
        <v>15</v>
      </c>
      <c r="E53" s="10" t="s">
        <v>16</v>
      </c>
      <c r="F53" s="8" t="s">
        <v>52</v>
      </c>
      <c r="G53" s="8">
        <v>45.0</v>
      </c>
      <c r="H53" s="8">
        <v>14.0</v>
      </c>
      <c r="I53" s="8">
        <v>23.0</v>
      </c>
      <c r="J53" s="8">
        <f t="shared" si="1"/>
        <v>82</v>
      </c>
      <c r="K53" s="8">
        <f t="shared" si="2"/>
        <v>5</v>
      </c>
      <c r="L53" s="8" t="str">
        <f t="shared" si="3"/>
        <v>A+</v>
      </c>
      <c r="M53" s="8" t="str">
        <f t="shared" si="4"/>
        <v>PASS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2">
        <v>17.0</v>
      </c>
      <c r="B54" s="9" t="s">
        <v>23</v>
      </c>
      <c r="C54" s="10" t="s">
        <v>14</v>
      </c>
      <c r="D54" s="8" t="s">
        <v>15</v>
      </c>
      <c r="E54" s="10" t="s">
        <v>16</v>
      </c>
      <c r="F54" s="8" t="s">
        <v>52</v>
      </c>
      <c r="G54" s="8"/>
      <c r="H54" s="8"/>
      <c r="I54" s="8"/>
      <c r="J54" s="8">
        <f t="shared" si="1"/>
        <v>0</v>
      </c>
      <c r="K54" s="8">
        <f t="shared" si="2"/>
        <v>0</v>
      </c>
      <c r="L54" s="8" t="str">
        <f t="shared" si="3"/>
        <v>F</v>
      </c>
      <c r="M54" s="8" t="str">
        <f t="shared" si="4"/>
        <v>FAIL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>
        <v>18.0</v>
      </c>
      <c r="B55" s="11" t="s">
        <v>66</v>
      </c>
      <c r="C55" s="10" t="s">
        <v>14</v>
      </c>
      <c r="D55" s="8" t="s">
        <v>15</v>
      </c>
      <c r="E55" s="10" t="s">
        <v>16</v>
      </c>
      <c r="F55" s="8" t="s">
        <v>52</v>
      </c>
      <c r="G55" s="8">
        <v>14.0</v>
      </c>
      <c r="H55" s="8">
        <v>19.0</v>
      </c>
      <c r="I55" s="8">
        <v>0.0</v>
      </c>
      <c r="J55" s="8">
        <f t="shared" si="1"/>
        <v>33</v>
      </c>
      <c r="K55" s="8">
        <f t="shared" si="2"/>
        <v>1</v>
      </c>
      <c r="L55" s="8" t="str">
        <f t="shared" si="3"/>
        <v>D</v>
      </c>
      <c r="M55" s="8" t="str">
        <f t="shared" si="4"/>
        <v>PASS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>
        <v>19.0</v>
      </c>
      <c r="B56" s="11" t="s">
        <v>67</v>
      </c>
      <c r="C56" s="10" t="s">
        <v>14</v>
      </c>
      <c r="D56" s="8" t="s">
        <v>15</v>
      </c>
      <c r="E56" s="10" t="s">
        <v>16</v>
      </c>
      <c r="F56" s="8" t="s">
        <v>52</v>
      </c>
      <c r="G56" s="8">
        <v>12.0</v>
      </c>
      <c r="H56" s="8">
        <v>12.0</v>
      </c>
      <c r="I56" s="8">
        <v>0.0</v>
      </c>
      <c r="J56" s="8">
        <f t="shared" si="1"/>
        <v>24</v>
      </c>
      <c r="K56" s="8">
        <f t="shared" si="2"/>
        <v>0</v>
      </c>
      <c r="L56" s="8" t="str">
        <f t="shared" si="3"/>
        <v>F</v>
      </c>
      <c r="M56" s="8" t="str">
        <f t="shared" si="4"/>
        <v>FAIL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>
        <v>20.0</v>
      </c>
      <c r="B57" s="11" t="s">
        <v>68</v>
      </c>
      <c r="C57" s="10" t="s">
        <v>14</v>
      </c>
      <c r="D57" s="8" t="s">
        <v>15</v>
      </c>
      <c r="E57" s="10" t="s">
        <v>16</v>
      </c>
      <c r="F57" s="8" t="s">
        <v>52</v>
      </c>
      <c r="G57" s="8">
        <v>24.0</v>
      </c>
      <c r="H57" s="8">
        <v>11.0</v>
      </c>
      <c r="I57" s="8">
        <v>15.0</v>
      </c>
      <c r="J57" s="8">
        <f t="shared" si="1"/>
        <v>50</v>
      </c>
      <c r="K57" s="8">
        <f t="shared" si="2"/>
        <v>3</v>
      </c>
      <c r="L57" s="8" t="str">
        <f t="shared" si="3"/>
        <v>B</v>
      </c>
      <c r="M57" s="8" t="str">
        <f t="shared" si="4"/>
        <v>PASS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>
        <v>21.0</v>
      </c>
      <c r="B58" s="11" t="s">
        <v>69</v>
      </c>
      <c r="C58" s="10" t="s">
        <v>14</v>
      </c>
      <c r="D58" s="8" t="s">
        <v>15</v>
      </c>
      <c r="E58" s="10" t="s">
        <v>16</v>
      </c>
      <c r="F58" s="8" t="s">
        <v>52</v>
      </c>
      <c r="G58" s="8">
        <v>18.0</v>
      </c>
      <c r="H58" s="8">
        <v>12.0</v>
      </c>
      <c r="I58" s="8">
        <v>15.0</v>
      </c>
      <c r="J58" s="8">
        <f t="shared" si="1"/>
        <v>45</v>
      </c>
      <c r="K58" s="8">
        <f t="shared" si="2"/>
        <v>2</v>
      </c>
      <c r="L58" s="8" t="str">
        <f t="shared" si="3"/>
        <v>C</v>
      </c>
      <c r="M58" s="8" t="str">
        <f t="shared" si="4"/>
        <v>PASS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>
        <v>22.0</v>
      </c>
      <c r="B59" s="11" t="s">
        <v>70</v>
      </c>
      <c r="C59" s="10" t="s">
        <v>14</v>
      </c>
      <c r="D59" s="8" t="s">
        <v>15</v>
      </c>
      <c r="E59" s="10" t="s">
        <v>16</v>
      </c>
      <c r="F59" s="8" t="s">
        <v>52</v>
      </c>
      <c r="G59" s="8">
        <v>20.0</v>
      </c>
      <c r="H59" s="8">
        <v>14.0</v>
      </c>
      <c r="I59" s="8">
        <v>15.0</v>
      </c>
      <c r="J59" s="8">
        <f t="shared" si="1"/>
        <v>49</v>
      </c>
      <c r="K59" s="8">
        <f t="shared" si="2"/>
        <v>2</v>
      </c>
      <c r="L59" s="8" t="str">
        <f t="shared" si="3"/>
        <v>C</v>
      </c>
      <c r="M59" s="8" t="str">
        <f t="shared" si="4"/>
        <v>PASS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>
        <v>23.0</v>
      </c>
      <c r="B60" s="11" t="s">
        <v>71</v>
      </c>
      <c r="C60" s="10" t="s">
        <v>14</v>
      </c>
      <c r="D60" s="8" t="s">
        <v>15</v>
      </c>
      <c r="E60" s="10" t="s">
        <v>16</v>
      </c>
      <c r="F60" s="8" t="s">
        <v>52</v>
      </c>
      <c r="G60" s="8">
        <v>28.0</v>
      </c>
      <c r="H60" s="8">
        <v>17.0</v>
      </c>
      <c r="I60" s="8">
        <v>20.0</v>
      </c>
      <c r="J60" s="8">
        <f t="shared" si="1"/>
        <v>65</v>
      </c>
      <c r="K60" s="8">
        <f t="shared" si="2"/>
        <v>3.5</v>
      </c>
      <c r="L60" s="8" t="str">
        <f t="shared" si="3"/>
        <v>A-</v>
      </c>
      <c r="M60" s="8" t="str">
        <f t="shared" si="4"/>
        <v>PASS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>
        <v>24.0</v>
      </c>
      <c r="B61" s="11" t="s">
        <v>72</v>
      </c>
      <c r="C61" s="10" t="s">
        <v>14</v>
      </c>
      <c r="D61" s="8" t="s">
        <v>15</v>
      </c>
      <c r="E61" s="10" t="s">
        <v>16</v>
      </c>
      <c r="F61" s="8" t="s">
        <v>52</v>
      </c>
      <c r="G61" s="8">
        <v>10.0</v>
      </c>
      <c r="H61" s="8">
        <v>7.0</v>
      </c>
      <c r="I61" s="8">
        <v>0.0</v>
      </c>
      <c r="J61" s="8">
        <f t="shared" si="1"/>
        <v>17</v>
      </c>
      <c r="K61" s="8">
        <f t="shared" si="2"/>
        <v>0</v>
      </c>
      <c r="L61" s="8" t="str">
        <f t="shared" si="3"/>
        <v>F</v>
      </c>
      <c r="M61" s="8" t="str">
        <f t="shared" si="4"/>
        <v>FAIL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>
        <v>25.0</v>
      </c>
      <c r="B62" s="11" t="s">
        <v>73</v>
      </c>
      <c r="C62" s="10" t="s">
        <v>14</v>
      </c>
      <c r="D62" s="8" t="s">
        <v>15</v>
      </c>
      <c r="E62" s="10" t="s">
        <v>16</v>
      </c>
      <c r="F62" s="8" t="s">
        <v>52</v>
      </c>
      <c r="G62" s="8">
        <v>9.0</v>
      </c>
      <c r="H62" s="8">
        <v>12.0</v>
      </c>
      <c r="I62" s="8">
        <v>0.0</v>
      </c>
      <c r="J62" s="8">
        <f t="shared" si="1"/>
        <v>21</v>
      </c>
      <c r="K62" s="8">
        <f t="shared" si="2"/>
        <v>0</v>
      </c>
      <c r="L62" s="8" t="str">
        <f t="shared" si="3"/>
        <v>F</v>
      </c>
      <c r="M62" s="8" t="str">
        <f t="shared" si="4"/>
        <v>FAIL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>
        <v>26.0</v>
      </c>
      <c r="B63" s="11" t="s">
        <v>74</v>
      </c>
      <c r="C63" s="10" t="s">
        <v>14</v>
      </c>
      <c r="D63" s="8" t="s">
        <v>15</v>
      </c>
      <c r="E63" s="10" t="s">
        <v>16</v>
      </c>
      <c r="F63" s="8" t="s">
        <v>52</v>
      </c>
      <c r="G63" s="8">
        <v>11.0</v>
      </c>
      <c r="H63" s="8">
        <v>8.0</v>
      </c>
      <c r="I63" s="8">
        <v>0.0</v>
      </c>
      <c r="J63" s="8">
        <f t="shared" si="1"/>
        <v>19</v>
      </c>
      <c r="K63" s="8">
        <f t="shared" si="2"/>
        <v>0</v>
      </c>
      <c r="L63" s="8" t="str">
        <f t="shared" si="3"/>
        <v>F</v>
      </c>
      <c r="M63" s="8" t="str">
        <f t="shared" si="4"/>
        <v>FAIL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>
        <v>27.0</v>
      </c>
      <c r="B64" s="9" t="s">
        <v>75</v>
      </c>
      <c r="C64" s="10" t="s">
        <v>14</v>
      </c>
      <c r="D64" s="8" t="s">
        <v>15</v>
      </c>
      <c r="E64" s="10" t="s">
        <v>16</v>
      </c>
      <c r="F64" s="8" t="s">
        <v>52</v>
      </c>
      <c r="G64" s="8">
        <v>47.0</v>
      </c>
      <c r="H64" s="8">
        <v>20.0</v>
      </c>
      <c r="I64" s="8">
        <v>23.0</v>
      </c>
      <c r="J64" s="8">
        <f t="shared" si="1"/>
        <v>90</v>
      </c>
      <c r="K64" s="8">
        <f t="shared" si="2"/>
        <v>5</v>
      </c>
      <c r="L64" s="8" t="str">
        <f t="shared" si="3"/>
        <v>A+</v>
      </c>
      <c r="M64" s="8" t="str">
        <f t="shared" si="4"/>
        <v>PASS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>
        <v>28.0</v>
      </c>
      <c r="B65" s="9" t="s">
        <v>76</v>
      </c>
      <c r="C65" s="10" t="s">
        <v>14</v>
      </c>
      <c r="D65" s="8" t="s">
        <v>15</v>
      </c>
      <c r="E65" s="10" t="s">
        <v>16</v>
      </c>
      <c r="F65" s="8" t="s">
        <v>52</v>
      </c>
      <c r="G65" s="8">
        <v>3.0</v>
      </c>
      <c r="H65" s="8">
        <v>10.0</v>
      </c>
      <c r="I65" s="8">
        <v>0.0</v>
      </c>
      <c r="J65" s="8">
        <f t="shared" si="1"/>
        <v>13</v>
      </c>
      <c r="K65" s="8">
        <f t="shared" si="2"/>
        <v>0</v>
      </c>
      <c r="L65" s="8" t="str">
        <f t="shared" si="3"/>
        <v>F</v>
      </c>
      <c r="M65" s="8" t="str">
        <f t="shared" si="4"/>
        <v>FAIL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>
        <v>29.0</v>
      </c>
      <c r="B66" s="9" t="s">
        <v>77</v>
      </c>
      <c r="C66" s="10" t="s">
        <v>14</v>
      </c>
      <c r="D66" s="8" t="s">
        <v>15</v>
      </c>
      <c r="E66" s="10" t="s">
        <v>16</v>
      </c>
      <c r="F66" s="8" t="s">
        <v>52</v>
      </c>
      <c r="G66" s="8">
        <v>17.0</v>
      </c>
      <c r="H66" s="8">
        <v>17.0</v>
      </c>
      <c r="I66" s="8">
        <v>15.0</v>
      </c>
      <c r="J66" s="8">
        <f t="shared" si="1"/>
        <v>49</v>
      </c>
      <c r="K66" s="8">
        <f t="shared" si="2"/>
        <v>2</v>
      </c>
      <c r="L66" s="8" t="str">
        <f t="shared" si="3"/>
        <v>C</v>
      </c>
      <c r="M66" s="8" t="str">
        <f t="shared" si="4"/>
        <v>PASS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>
        <v>30.0</v>
      </c>
      <c r="B67" s="9" t="s">
        <v>78</v>
      </c>
      <c r="C67" s="10" t="s">
        <v>14</v>
      </c>
      <c r="D67" s="8" t="s">
        <v>15</v>
      </c>
      <c r="E67" s="10" t="s">
        <v>16</v>
      </c>
      <c r="F67" s="8" t="s">
        <v>52</v>
      </c>
      <c r="G67" s="8">
        <v>48.0</v>
      </c>
      <c r="H67" s="8">
        <v>24.0</v>
      </c>
      <c r="I67" s="8">
        <v>23.0</v>
      </c>
      <c r="J67" s="8">
        <f t="shared" si="1"/>
        <v>95</v>
      </c>
      <c r="K67" s="8">
        <f t="shared" si="2"/>
        <v>5</v>
      </c>
      <c r="L67" s="8" t="str">
        <f t="shared" si="3"/>
        <v>A+</v>
      </c>
      <c r="M67" s="8" t="str">
        <f t="shared" si="4"/>
        <v>PASS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>
        <v>31.0</v>
      </c>
      <c r="B68" s="9" t="s">
        <v>79</v>
      </c>
      <c r="C68" s="10" t="s">
        <v>14</v>
      </c>
      <c r="D68" s="8" t="s">
        <v>15</v>
      </c>
      <c r="E68" s="10" t="s">
        <v>16</v>
      </c>
      <c r="F68" s="8" t="s">
        <v>52</v>
      </c>
      <c r="G68" s="8">
        <v>10.0</v>
      </c>
      <c r="H68" s="8">
        <v>10.0</v>
      </c>
      <c r="I68" s="8">
        <v>0.0</v>
      </c>
      <c r="J68" s="8">
        <f t="shared" si="1"/>
        <v>20</v>
      </c>
      <c r="K68" s="8">
        <f t="shared" si="2"/>
        <v>0</v>
      </c>
      <c r="L68" s="8" t="str">
        <f t="shared" si="3"/>
        <v>F</v>
      </c>
      <c r="M68" s="8" t="str">
        <f t="shared" si="4"/>
        <v>FAIL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>
        <v>32.0</v>
      </c>
      <c r="B69" s="11" t="s">
        <v>80</v>
      </c>
      <c r="C69" s="10" t="s">
        <v>14</v>
      </c>
      <c r="D69" s="8" t="s">
        <v>15</v>
      </c>
      <c r="E69" s="10" t="s">
        <v>16</v>
      </c>
      <c r="F69" s="8" t="s">
        <v>52</v>
      </c>
      <c r="G69" s="8">
        <v>15.0</v>
      </c>
      <c r="H69" s="8">
        <v>11.0</v>
      </c>
      <c r="I69" s="8">
        <v>0.0</v>
      </c>
      <c r="J69" s="8">
        <f t="shared" si="1"/>
        <v>26</v>
      </c>
      <c r="K69" s="8">
        <f t="shared" si="2"/>
        <v>0</v>
      </c>
      <c r="L69" s="8" t="str">
        <f t="shared" si="3"/>
        <v>F</v>
      </c>
      <c r="M69" s="8" t="str">
        <f t="shared" si="4"/>
        <v>FAIL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>
        <v>33.0</v>
      </c>
      <c r="B70" s="11" t="s">
        <v>81</v>
      </c>
      <c r="C70" s="10" t="s">
        <v>14</v>
      </c>
      <c r="D70" s="8" t="s">
        <v>15</v>
      </c>
      <c r="E70" s="10" t="s">
        <v>16</v>
      </c>
      <c r="F70" s="8" t="s">
        <v>52</v>
      </c>
      <c r="G70" s="8">
        <v>8.0</v>
      </c>
      <c r="H70" s="8">
        <v>8.0</v>
      </c>
      <c r="I70" s="8">
        <v>0.0</v>
      </c>
      <c r="J70" s="8">
        <f t="shared" si="1"/>
        <v>16</v>
      </c>
      <c r="K70" s="8">
        <f t="shared" si="2"/>
        <v>0</v>
      </c>
      <c r="L70" s="8" t="str">
        <f t="shared" si="3"/>
        <v>F</v>
      </c>
      <c r="M70" s="8" t="str">
        <f t="shared" si="4"/>
        <v>FAIL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>
        <v>34.0</v>
      </c>
      <c r="B71" s="11" t="s">
        <v>82</v>
      </c>
      <c r="C71" s="10" t="s">
        <v>14</v>
      </c>
      <c r="D71" s="8" t="s">
        <v>15</v>
      </c>
      <c r="E71" s="10" t="s">
        <v>16</v>
      </c>
      <c r="F71" s="8" t="s">
        <v>52</v>
      </c>
      <c r="G71" s="8">
        <v>13.0</v>
      </c>
      <c r="H71" s="8">
        <v>13.0</v>
      </c>
      <c r="I71" s="8">
        <v>0.0</v>
      </c>
      <c r="J71" s="8">
        <f t="shared" si="1"/>
        <v>26</v>
      </c>
      <c r="K71" s="8">
        <f t="shared" si="2"/>
        <v>0</v>
      </c>
      <c r="L71" s="8" t="str">
        <f t="shared" si="3"/>
        <v>F</v>
      </c>
      <c r="M71" s="8" t="str">
        <f t="shared" si="4"/>
        <v>FAIL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2">
        <v>35.0</v>
      </c>
      <c r="B72" s="11" t="s">
        <v>83</v>
      </c>
      <c r="C72" s="10" t="s">
        <v>14</v>
      </c>
      <c r="D72" s="8" t="s">
        <v>15</v>
      </c>
      <c r="E72" s="10" t="s">
        <v>16</v>
      </c>
      <c r="F72" s="8" t="s">
        <v>52</v>
      </c>
      <c r="G72" s="8"/>
      <c r="H72" s="8"/>
      <c r="I72" s="8"/>
      <c r="J72" s="8">
        <f t="shared" si="1"/>
        <v>0</v>
      </c>
      <c r="K72" s="8">
        <f t="shared" si="2"/>
        <v>0</v>
      </c>
      <c r="L72" s="8" t="str">
        <f t="shared" si="3"/>
        <v>F</v>
      </c>
      <c r="M72" s="8" t="str">
        <f t="shared" si="4"/>
        <v>FAIL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>
        <v>36.0</v>
      </c>
      <c r="B73" s="11" t="s">
        <v>84</v>
      </c>
      <c r="C73" s="10" t="s">
        <v>14</v>
      </c>
      <c r="D73" s="8" t="s">
        <v>15</v>
      </c>
      <c r="E73" s="10" t="s">
        <v>16</v>
      </c>
      <c r="F73" s="8" t="s">
        <v>52</v>
      </c>
      <c r="G73" s="8">
        <v>33.0</v>
      </c>
      <c r="H73" s="8">
        <v>10.0</v>
      </c>
      <c r="I73" s="8">
        <v>20.0</v>
      </c>
      <c r="J73" s="8">
        <f t="shared" si="1"/>
        <v>63</v>
      </c>
      <c r="K73" s="8">
        <f t="shared" si="2"/>
        <v>3.5</v>
      </c>
      <c r="L73" s="8" t="str">
        <f t="shared" si="3"/>
        <v>A-</v>
      </c>
      <c r="M73" s="8" t="str">
        <f t="shared" si="4"/>
        <v>PASS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>
        <v>37.0</v>
      </c>
      <c r="B74" s="11" t="s">
        <v>85</v>
      </c>
      <c r="C74" s="10" t="s">
        <v>14</v>
      </c>
      <c r="D74" s="8" t="s">
        <v>15</v>
      </c>
      <c r="E74" s="10" t="s">
        <v>16</v>
      </c>
      <c r="F74" s="8" t="s">
        <v>52</v>
      </c>
      <c r="G74" s="8">
        <v>18.0</v>
      </c>
      <c r="H74" s="8">
        <v>8.0</v>
      </c>
      <c r="I74" s="8">
        <v>15.0</v>
      </c>
      <c r="J74" s="8">
        <f t="shared" si="1"/>
        <v>41</v>
      </c>
      <c r="K74" s="8">
        <f t="shared" si="2"/>
        <v>2</v>
      </c>
      <c r="L74" s="8" t="str">
        <f t="shared" si="3"/>
        <v>C</v>
      </c>
      <c r="M74" s="8" t="str">
        <f t="shared" si="4"/>
        <v>PASS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>
        <v>38.0</v>
      </c>
      <c r="B75" s="11" t="s">
        <v>86</v>
      </c>
      <c r="C75" s="10" t="s">
        <v>14</v>
      </c>
      <c r="D75" s="8" t="s">
        <v>15</v>
      </c>
      <c r="E75" s="10" t="s">
        <v>16</v>
      </c>
      <c r="F75" s="8" t="s">
        <v>52</v>
      </c>
      <c r="G75" s="8">
        <v>17.0</v>
      </c>
      <c r="H75" s="8">
        <v>12.0</v>
      </c>
      <c r="I75" s="8">
        <v>15.0</v>
      </c>
      <c r="J75" s="8">
        <f t="shared" si="1"/>
        <v>44</v>
      </c>
      <c r="K75" s="8">
        <f t="shared" si="2"/>
        <v>2</v>
      </c>
      <c r="L75" s="8" t="str">
        <f t="shared" si="3"/>
        <v>C</v>
      </c>
      <c r="M75" s="8" t="str">
        <f t="shared" si="4"/>
        <v>PASS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>
        <v>39.0</v>
      </c>
      <c r="B76" s="11" t="s">
        <v>87</v>
      </c>
      <c r="C76" s="10" t="s">
        <v>14</v>
      </c>
      <c r="D76" s="8" t="s">
        <v>15</v>
      </c>
      <c r="E76" s="10" t="s">
        <v>16</v>
      </c>
      <c r="F76" s="8" t="s">
        <v>52</v>
      </c>
      <c r="G76" s="8">
        <v>9.0</v>
      </c>
      <c r="H76" s="8">
        <v>8.0</v>
      </c>
      <c r="I76" s="8">
        <v>0.0</v>
      </c>
      <c r="J76" s="8">
        <f t="shared" si="1"/>
        <v>17</v>
      </c>
      <c r="K76" s="8">
        <f t="shared" si="2"/>
        <v>0</v>
      </c>
      <c r="L76" s="8" t="str">
        <f t="shared" si="3"/>
        <v>F</v>
      </c>
      <c r="M76" s="8" t="str">
        <f t="shared" si="4"/>
        <v>FAIL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>
        <v>40.0</v>
      </c>
      <c r="B77" s="11" t="s">
        <v>88</v>
      </c>
      <c r="C77" s="10" t="s">
        <v>14</v>
      </c>
      <c r="D77" s="8" t="s">
        <v>15</v>
      </c>
      <c r="E77" s="10" t="s">
        <v>16</v>
      </c>
      <c r="F77" s="8" t="s">
        <v>52</v>
      </c>
      <c r="G77" s="8">
        <v>9.0</v>
      </c>
      <c r="H77" s="8">
        <v>6.0</v>
      </c>
      <c r="I77" s="8">
        <v>0.0</v>
      </c>
      <c r="J77" s="8">
        <f t="shared" si="1"/>
        <v>15</v>
      </c>
      <c r="K77" s="8">
        <f t="shared" si="2"/>
        <v>0</v>
      </c>
      <c r="L77" s="8" t="str">
        <f t="shared" si="3"/>
        <v>F</v>
      </c>
      <c r="M77" s="8" t="str">
        <f t="shared" si="4"/>
        <v>FAIL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>
        <v>41.0</v>
      </c>
      <c r="B78" s="11" t="s">
        <v>89</v>
      </c>
      <c r="C78" s="10" t="s">
        <v>14</v>
      </c>
      <c r="D78" s="8" t="s">
        <v>15</v>
      </c>
      <c r="E78" s="10" t="s">
        <v>16</v>
      </c>
      <c r="F78" s="8" t="s">
        <v>52</v>
      </c>
      <c r="G78" s="8">
        <v>15.0</v>
      </c>
      <c r="H78" s="8">
        <v>13.0</v>
      </c>
      <c r="I78" s="8">
        <v>0.0</v>
      </c>
      <c r="J78" s="8">
        <f t="shared" si="1"/>
        <v>28</v>
      </c>
      <c r="K78" s="8">
        <f t="shared" si="2"/>
        <v>0</v>
      </c>
      <c r="L78" s="8" t="str">
        <f t="shared" si="3"/>
        <v>F</v>
      </c>
      <c r="M78" s="8" t="str">
        <f t="shared" si="4"/>
        <v>FAIL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>
        <v>42.0</v>
      </c>
      <c r="B79" s="11" t="s">
        <v>90</v>
      </c>
      <c r="C79" s="10" t="s">
        <v>14</v>
      </c>
      <c r="D79" s="8" t="s">
        <v>15</v>
      </c>
      <c r="E79" s="10" t="s">
        <v>16</v>
      </c>
      <c r="F79" s="8" t="s">
        <v>52</v>
      </c>
      <c r="G79" s="8">
        <v>13.0</v>
      </c>
      <c r="H79" s="8">
        <v>9.0</v>
      </c>
      <c r="I79" s="8">
        <v>0.0</v>
      </c>
      <c r="J79" s="8">
        <f t="shared" si="1"/>
        <v>22</v>
      </c>
      <c r="K79" s="8">
        <f t="shared" si="2"/>
        <v>0</v>
      </c>
      <c r="L79" s="8" t="str">
        <f t="shared" si="3"/>
        <v>F</v>
      </c>
      <c r="M79" s="8" t="str">
        <f t="shared" si="4"/>
        <v>FAIL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2">
        <v>43.0</v>
      </c>
      <c r="B80" s="11" t="s">
        <v>91</v>
      </c>
      <c r="C80" s="10" t="s">
        <v>14</v>
      </c>
      <c r="D80" s="8" t="s">
        <v>15</v>
      </c>
      <c r="E80" s="10" t="s">
        <v>16</v>
      </c>
      <c r="F80" s="8" t="s">
        <v>52</v>
      </c>
      <c r="G80" s="8"/>
      <c r="H80" s="8"/>
      <c r="I80" s="8"/>
      <c r="J80" s="8">
        <f t="shared" si="1"/>
        <v>0</v>
      </c>
      <c r="K80" s="8">
        <f t="shared" si="2"/>
        <v>0</v>
      </c>
      <c r="L80" s="8" t="str">
        <f t="shared" si="3"/>
        <v>F</v>
      </c>
      <c r="M80" s="8" t="str">
        <f t="shared" si="4"/>
        <v>FAIL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2">
        <v>44.0</v>
      </c>
      <c r="B81" s="11" t="s">
        <v>92</v>
      </c>
      <c r="C81" s="10" t="s">
        <v>14</v>
      </c>
      <c r="D81" s="8" t="s">
        <v>15</v>
      </c>
      <c r="E81" s="10" t="s">
        <v>16</v>
      </c>
      <c r="F81" s="8" t="s">
        <v>52</v>
      </c>
      <c r="G81" s="8"/>
      <c r="H81" s="8"/>
      <c r="I81" s="8"/>
      <c r="J81" s="8">
        <f t="shared" si="1"/>
        <v>0</v>
      </c>
      <c r="K81" s="8">
        <f t="shared" si="2"/>
        <v>0</v>
      </c>
      <c r="L81" s="8" t="str">
        <f t="shared" si="3"/>
        <v>F</v>
      </c>
      <c r="M81" s="8" t="str">
        <f t="shared" si="4"/>
        <v>FAIL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2">
        <v>45.0</v>
      </c>
      <c r="B82" s="11" t="s">
        <v>93</v>
      </c>
      <c r="C82" s="10" t="s">
        <v>14</v>
      </c>
      <c r="D82" s="8" t="s">
        <v>15</v>
      </c>
      <c r="E82" s="10" t="s">
        <v>16</v>
      </c>
      <c r="F82" s="8" t="s">
        <v>52</v>
      </c>
      <c r="G82" s="8"/>
      <c r="H82" s="8"/>
      <c r="I82" s="8"/>
      <c r="J82" s="8">
        <f t="shared" si="1"/>
        <v>0</v>
      </c>
      <c r="K82" s="8">
        <f t="shared" si="2"/>
        <v>0</v>
      </c>
      <c r="L82" s="8" t="str">
        <f t="shared" si="3"/>
        <v>F</v>
      </c>
      <c r="M82" s="8" t="str">
        <f t="shared" si="4"/>
        <v>FAIL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>
        <v>46.0</v>
      </c>
      <c r="B83" s="11" t="s">
        <v>28</v>
      </c>
      <c r="C83" s="10" t="s">
        <v>14</v>
      </c>
      <c r="D83" s="8" t="s">
        <v>15</v>
      </c>
      <c r="E83" s="10" t="s">
        <v>16</v>
      </c>
      <c r="F83" s="8" t="s">
        <v>52</v>
      </c>
      <c r="G83" s="8">
        <v>1.0</v>
      </c>
      <c r="H83" s="8">
        <v>8.0</v>
      </c>
      <c r="I83" s="8">
        <v>0.0</v>
      </c>
      <c r="J83" s="8">
        <f t="shared" si="1"/>
        <v>9</v>
      </c>
      <c r="K83" s="8">
        <f t="shared" si="2"/>
        <v>0</v>
      </c>
      <c r="L83" s="8" t="str">
        <f t="shared" si="3"/>
        <v>F</v>
      </c>
      <c r="M83" s="8" t="str">
        <f t="shared" si="4"/>
        <v>FAIL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>
        <v>47.0</v>
      </c>
      <c r="B84" s="11" t="s">
        <v>94</v>
      </c>
      <c r="C84" s="10" t="s">
        <v>14</v>
      </c>
      <c r="D84" s="8" t="s">
        <v>15</v>
      </c>
      <c r="E84" s="10" t="s">
        <v>16</v>
      </c>
      <c r="F84" s="8" t="s">
        <v>52</v>
      </c>
      <c r="G84" s="8">
        <v>31.0</v>
      </c>
      <c r="H84" s="8">
        <v>17.0</v>
      </c>
      <c r="I84" s="8">
        <v>20.0</v>
      </c>
      <c r="J84" s="8">
        <f t="shared" si="1"/>
        <v>68</v>
      </c>
      <c r="K84" s="8">
        <f t="shared" si="2"/>
        <v>3.5</v>
      </c>
      <c r="L84" s="8" t="str">
        <f t="shared" si="3"/>
        <v>A-</v>
      </c>
      <c r="M84" s="8" t="str">
        <f t="shared" si="4"/>
        <v>PASS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2">
        <v>48.0</v>
      </c>
      <c r="B85" s="11" t="s">
        <v>95</v>
      </c>
      <c r="C85" s="10" t="s">
        <v>14</v>
      </c>
      <c r="D85" s="8" t="s">
        <v>15</v>
      </c>
      <c r="E85" s="10" t="s">
        <v>16</v>
      </c>
      <c r="F85" s="8" t="s">
        <v>52</v>
      </c>
      <c r="G85" s="8"/>
      <c r="H85" s="8"/>
      <c r="I85" s="8"/>
      <c r="J85" s="8">
        <f t="shared" si="1"/>
        <v>0</v>
      </c>
      <c r="K85" s="8">
        <f t="shared" si="2"/>
        <v>0</v>
      </c>
      <c r="L85" s="8" t="str">
        <f t="shared" si="3"/>
        <v>F</v>
      </c>
      <c r="M85" s="8" t="str">
        <f t="shared" si="4"/>
        <v>FAIL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>
        <v>49.0</v>
      </c>
      <c r="B86" s="11" t="s">
        <v>96</v>
      </c>
      <c r="C86" s="10" t="s">
        <v>14</v>
      </c>
      <c r="D86" s="8" t="s">
        <v>15</v>
      </c>
      <c r="E86" s="10" t="s">
        <v>16</v>
      </c>
      <c r="F86" s="8" t="s">
        <v>52</v>
      </c>
      <c r="G86" s="8">
        <v>9.0</v>
      </c>
      <c r="H86" s="8">
        <v>10.0</v>
      </c>
      <c r="I86" s="8">
        <v>0.0</v>
      </c>
      <c r="J86" s="8">
        <f t="shared" si="1"/>
        <v>19</v>
      </c>
      <c r="K86" s="8">
        <f t="shared" si="2"/>
        <v>0</v>
      </c>
      <c r="L86" s="8" t="str">
        <f t="shared" si="3"/>
        <v>F</v>
      </c>
      <c r="M86" s="8" t="str">
        <f t="shared" si="4"/>
        <v>FAIL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>
        <v>50.0</v>
      </c>
      <c r="B87" s="11" t="s">
        <v>97</v>
      </c>
      <c r="C87" s="10" t="s">
        <v>14</v>
      </c>
      <c r="D87" s="8" t="s">
        <v>15</v>
      </c>
      <c r="E87" s="10" t="s">
        <v>16</v>
      </c>
      <c r="F87" s="8" t="s">
        <v>52</v>
      </c>
      <c r="G87" s="8">
        <v>1.0</v>
      </c>
      <c r="H87" s="8">
        <v>8.0</v>
      </c>
      <c r="I87" s="8">
        <v>0.0</v>
      </c>
      <c r="J87" s="8">
        <f t="shared" si="1"/>
        <v>9</v>
      </c>
      <c r="K87" s="8">
        <f t="shared" si="2"/>
        <v>0</v>
      </c>
      <c r="L87" s="8" t="str">
        <f t="shared" si="3"/>
        <v>F</v>
      </c>
      <c r="M87" s="8" t="str">
        <f t="shared" si="4"/>
        <v>FAIL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>
        <v>51.0</v>
      </c>
      <c r="B88" s="11" t="s">
        <v>98</v>
      </c>
      <c r="C88" s="10" t="s">
        <v>14</v>
      </c>
      <c r="D88" s="8" t="s">
        <v>15</v>
      </c>
      <c r="E88" s="10" t="s">
        <v>16</v>
      </c>
      <c r="F88" s="8" t="s">
        <v>52</v>
      </c>
      <c r="G88" s="8">
        <v>17.0</v>
      </c>
      <c r="H88" s="8">
        <v>8.0</v>
      </c>
      <c r="I88" s="8">
        <v>15.0</v>
      </c>
      <c r="J88" s="8">
        <f t="shared" si="1"/>
        <v>40</v>
      </c>
      <c r="K88" s="8">
        <f t="shared" si="2"/>
        <v>2</v>
      </c>
      <c r="L88" s="8" t="str">
        <f t="shared" si="3"/>
        <v>C</v>
      </c>
      <c r="M88" s="8" t="str">
        <f t="shared" si="4"/>
        <v>PASS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>
        <v>52.0</v>
      </c>
      <c r="B89" s="11" t="s">
        <v>99</v>
      </c>
      <c r="C89" s="10" t="s">
        <v>14</v>
      </c>
      <c r="D89" s="8" t="s">
        <v>15</v>
      </c>
      <c r="E89" s="10" t="s">
        <v>16</v>
      </c>
      <c r="F89" s="8" t="s">
        <v>52</v>
      </c>
      <c r="G89" s="8">
        <v>17.0</v>
      </c>
      <c r="H89" s="8">
        <v>14.0</v>
      </c>
      <c r="I89" s="8">
        <v>15.0</v>
      </c>
      <c r="J89" s="8">
        <f t="shared" si="1"/>
        <v>46</v>
      </c>
      <c r="K89" s="8">
        <f t="shared" si="2"/>
        <v>2</v>
      </c>
      <c r="L89" s="8" t="str">
        <f t="shared" si="3"/>
        <v>C</v>
      </c>
      <c r="M89" s="8" t="str">
        <f t="shared" si="4"/>
        <v>PASS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2">
        <v>53.0</v>
      </c>
      <c r="B90" s="11" t="s">
        <v>100</v>
      </c>
      <c r="C90" s="10" t="s">
        <v>14</v>
      </c>
      <c r="D90" s="8" t="s">
        <v>15</v>
      </c>
      <c r="E90" s="10" t="s">
        <v>16</v>
      </c>
      <c r="F90" s="8" t="s">
        <v>52</v>
      </c>
      <c r="G90" s="8"/>
      <c r="H90" s="8"/>
      <c r="I90" s="8"/>
      <c r="J90" s="8">
        <f t="shared" si="1"/>
        <v>0</v>
      </c>
      <c r="K90" s="8">
        <f t="shared" si="2"/>
        <v>0</v>
      </c>
      <c r="L90" s="8" t="str">
        <f t="shared" si="3"/>
        <v>F</v>
      </c>
      <c r="M90" s="8" t="str">
        <f t="shared" si="4"/>
        <v>FAIL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>
        <v>54.0</v>
      </c>
      <c r="B91" s="11" t="s">
        <v>101</v>
      </c>
      <c r="C91" s="10" t="s">
        <v>14</v>
      </c>
      <c r="D91" s="8" t="s">
        <v>15</v>
      </c>
      <c r="E91" s="10" t="s">
        <v>16</v>
      </c>
      <c r="F91" s="8" t="s">
        <v>52</v>
      </c>
      <c r="G91" s="8">
        <v>19.0</v>
      </c>
      <c r="H91" s="8">
        <v>11.0</v>
      </c>
      <c r="I91" s="8">
        <v>15.0</v>
      </c>
      <c r="J91" s="8">
        <f t="shared" si="1"/>
        <v>45</v>
      </c>
      <c r="K91" s="8">
        <f t="shared" si="2"/>
        <v>2</v>
      </c>
      <c r="L91" s="8" t="str">
        <f t="shared" si="3"/>
        <v>C</v>
      </c>
      <c r="M91" s="8" t="str">
        <f t="shared" si="4"/>
        <v>PASS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>
        <v>55.0</v>
      </c>
      <c r="B92" s="11" t="s">
        <v>102</v>
      </c>
      <c r="C92" s="10" t="s">
        <v>14</v>
      </c>
      <c r="D92" s="8" t="s">
        <v>15</v>
      </c>
      <c r="E92" s="10" t="s">
        <v>16</v>
      </c>
      <c r="F92" s="8" t="s">
        <v>52</v>
      </c>
      <c r="G92" s="8">
        <v>17.0</v>
      </c>
      <c r="H92" s="8">
        <v>7.0</v>
      </c>
      <c r="I92" s="8">
        <v>15.0</v>
      </c>
      <c r="J92" s="8">
        <f t="shared" si="1"/>
        <v>39</v>
      </c>
      <c r="K92" s="8">
        <f t="shared" si="2"/>
        <v>1</v>
      </c>
      <c r="L92" s="8" t="str">
        <f t="shared" si="3"/>
        <v>D</v>
      </c>
      <c r="M92" s="8" t="str">
        <f t="shared" si="4"/>
        <v>PASS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>
        <v>56.0</v>
      </c>
      <c r="B93" s="11" t="s">
        <v>103</v>
      </c>
      <c r="C93" s="10" t="s">
        <v>14</v>
      </c>
      <c r="D93" s="8" t="s">
        <v>15</v>
      </c>
      <c r="E93" s="10" t="s">
        <v>16</v>
      </c>
      <c r="F93" s="8" t="s">
        <v>52</v>
      </c>
      <c r="G93" s="8">
        <v>10.0</v>
      </c>
      <c r="H93" s="8">
        <v>8.0</v>
      </c>
      <c r="I93" s="8">
        <v>0.0</v>
      </c>
      <c r="J93" s="8">
        <f t="shared" si="1"/>
        <v>18</v>
      </c>
      <c r="K93" s="8">
        <f t="shared" si="2"/>
        <v>0</v>
      </c>
      <c r="L93" s="8" t="str">
        <f t="shared" si="3"/>
        <v>F</v>
      </c>
      <c r="M93" s="8" t="str">
        <f t="shared" si="4"/>
        <v>FAIL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>
        <v>57.0</v>
      </c>
      <c r="B94" s="11" t="s">
        <v>104</v>
      </c>
      <c r="C94" s="10" t="s">
        <v>14</v>
      </c>
      <c r="D94" s="8" t="s">
        <v>15</v>
      </c>
      <c r="E94" s="10" t="s">
        <v>16</v>
      </c>
      <c r="F94" s="8" t="s">
        <v>52</v>
      </c>
      <c r="G94" s="8">
        <v>17.0</v>
      </c>
      <c r="H94" s="8">
        <v>15.0</v>
      </c>
      <c r="I94" s="8">
        <v>15.0</v>
      </c>
      <c r="J94" s="8">
        <f t="shared" si="1"/>
        <v>47</v>
      </c>
      <c r="K94" s="8">
        <f t="shared" si="2"/>
        <v>2</v>
      </c>
      <c r="L94" s="8" t="str">
        <f t="shared" si="3"/>
        <v>C</v>
      </c>
      <c r="M94" s="8" t="str">
        <f t="shared" si="4"/>
        <v>PASS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2">
        <v>58.0</v>
      </c>
      <c r="B95" s="11" t="s">
        <v>105</v>
      </c>
      <c r="C95" s="10" t="s">
        <v>14</v>
      </c>
      <c r="D95" s="8" t="s">
        <v>15</v>
      </c>
      <c r="E95" s="10" t="s">
        <v>16</v>
      </c>
      <c r="F95" s="8" t="s">
        <v>52</v>
      </c>
      <c r="G95" s="8"/>
      <c r="H95" s="8"/>
      <c r="I95" s="8"/>
      <c r="J95" s="8">
        <f t="shared" si="1"/>
        <v>0</v>
      </c>
      <c r="K95" s="8">
        <f t="shared" si="2"/>
        <v>0</v>
      </c>
      <c r="L95" s="8" t="str">
        <f t="shared" si="3"/>
        <v>F</v>
      </c>
      <c r="M95" s="8" t="str">
        <f t="shared" si="4"/>
        <v>FAIL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2">
        <v>59.0</v>
      </c>
      <c r="B96" s="11" t="s">
        <v>106</v>
      </c>
      <c r="C96" s="10" t="s">
        <v>14</v>
      </c>
      <c r="D96" s="8" t="s">
        <v>15</v>
      </c>
      <c r="E96" s="10" t="s">
        <v>16</v>
      </c>
      <c r="F96" s="8" t="s">
        <v>52</v>
      </c>
      <c r="G96" s="8"/>
      <c r="H96" s="8"/>
      <c r="I96" s="8"/>
      <c r="J96" s="8">
        <f t="shared" si="1"/>
        <v>0</v>
      </c>
      <c r="K96" s="8">
        <f t="shared" si="2"/>
        <v>0</v>
      </c>
      <c r="L96" s="8" t="str">
        <f t="shared" si="3"/>
        <v>F</v>
      </c>
      <c r="M96" s="8" t="str">
        <f t="shared" si="4"/>
        <v>FAIL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>
        <v>60.0</v>
      </c>
      <c r="B97" s="11" t="s">
        <v>107</v>
      </c>
      <c r="C97" s="10" t="s">
        <v>14</v>
      </c>
      <c r="D97" s="8" t="s">
        <v>15</v>
      </c>
      <c r="E97" s="10" t="s">
        <v>16</v>
      </c>
      <c r="F97" s="8" t="s">
        <v>52</v>
      </c>
      <c r="G97" s="8">
        <v>10.0</v>
      </c>
      <c r="H97" s="8">
        <v>9.0</v>
      </c>
      <c r="I97" s="8">
        <v>0.0</v>
      </c>
      <c r="J97" s="8">
        <f t="shared" si="1"/>
        <v>19</v>
      </c>
      <c r="K97" s="8">
        <f t="shared" si="2"/>
        <v>0</v>
      </c>
      <c r="L97" s="8" t="str">
        <f t="shared" si="3"/>
        <v>F</v>
      </c>
      <c r="M97" s="8" t="str">
        <f t="shared" si="4"/>
        <v>FAIL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12">
        <v>61.0</v>
      </c>
      <c r="B98" s="11" t="s">
        <v>108</v>
      </c>
      <c r="C98" s="10" t="s">
        <v>14</v>
      </c>
      <c r="D98" s="8" t="s">
        <v>15</v>
      </c>
      <c r="E98" s="10" t="s">
        <v>16</v>
      </c>
      <c r="F98" s="8" t="s">
        <v>52</v>
      </c>
      <c r="G98" s="8"/>
      <c r="H98" s="8"/>
      <c r="I98" s="8"/>
      <c r="J98" s="8">
        <f t="shared" si="1"/>
        <v>0</v>
      </c>
      <c r="K98" s="8">
        <f t="shared" si="2"/>
        <v>0</v>
      </c>
      <c r="L98" s="8" t="str">
        <f t="shared" si="3"/>
        <v>F</v>
      </c>
      <c r="M98" s="8" t="str">
        <f t="shared" si="4"/>
        <v>FAIL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>
        <v>62.0</v>
      </c>
      <c r="B99" s="11" t="s">
        <v>109</v>
      </c>
      <c r="C99" s="10" t="s">
        <v>14</v>
      </c>
      <c r="D99" s="8" t="s">
        <v>15</v>
      </c>
      <c r="E99" s="10" t="s">
        <v>16</v>
      </c>
      <c r="F99" s="8" t="s">
        <v>52</v>
      </c>
      <c r="G99" s="8">
        <v>5.0</v>
      </c>
      <c r="H99" s="8">
        <v>8.0</v>
      </c>
      <c r="I99" s="8">
        <v>0.0</v>
      </c>
      <c r="J99" s="8">
        <f t="shared" si="1"/>
        <v>13</v>
      </c>
      <c r="K99" s="8">
        <f t="shared" si="2"/>
        <v>0</v>
      </c>
      <c r="L99" s="8" t="str">
        <f t="shared" si="3"/>
        <v>F</v>
      </c>
      <c r="M99" s="8" t="str">
        <f t="shared" si="4"/>
        <v>FAIL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>
        <v>63.0</v>
      </c>
      <c r="B100" s="11" t="s">
        <v>35</v>
      </c>
      <c r="C100" s="10" t="s">
        <v>14</v>
      </c>
      <c r="D100" s="8" t="s">
        <v>15</v>
      </c>
      <c r="E100" s="10" t="s">
        <v>16</v>
      </c>
      <c r="F100" s="8" t="s">
        <v>52</v>
      </c>
      <c r="G100" s="8">
        <v>14.0</v>
      </c>
      <c r="H100" s="8">
        <v>10.0</v>
      </c>
      <c r="I100" s="8">
        <v>0.0</v>
      </c>
      <c r="J100" s="8">
        <f t="shared" si="1"/>
        <v>24</v>
      </c>
      <c r="K100" s="8">
        <f t="shared" si="2"/>
        <v>0</v>
      </c>
      <c r="L100" s="8" t="str">
        <f t="shared" si="3"/>
        <v>F</v>
      </c>
      <c r="M100" s="8" t="str">
        <f t="shared" si="4"/>
        <v>FAIL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2">
        <v>64.0</v>
      </c>
      <c r="B101" s="11" t="s">
        <v>110</v>
      </c>
      <c r="C101" s="10" t="s">
        <v>14</v>
      </c>
      <c r="D101" s="8" t="s">
        <v>15</v>
      </c>
      <c r="E101" s="10" t="s">
        <v>16</v>
      </c>
      <c r="F101" s="8" t="s">
        <v>52</v>
      </c>
      <c r="G101" s="8"/>
      <c r="H101" s="8"/>
      <c r="I101" s="8"/>
      <c r="J101" s="8">
        <f t="shared" si="1"/>
        <v>0</v>
      </c>
      <c r="K101" s="8">
        <f t="shared" si="2"/>
        <v>0</v>
      </c>
      <c r="L101" s="8" t="str">
        <f t="shared" si="3"/>
        <v>F</v>
      </c>
      <c r="M101" s="8" t="str">
        <f t="shared" si="4"/>
        <v>FAIL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2">
        <v>65.0</v>
      </c>
      <c r="B102" s="9" t="s">
        <v>23</v>
      </c>
      <c r="C102" s="10" t="s">
        <v>14</v>
      </c>
      <c r="D102" s="8" t="s">
        <v>15</v>
      </c>
      <c r="E102" s="10" t="s">
        <v>16</v>
      </c>
      <c r="F102" s="8" t="s">
        <v>52</v>
      </c>
      <c r="G102" s="8"/>
      <c r="H102" s="8"/>
      <c r="I102" s="8"/>
      <c r="J102" s="8">
        <f t="shared" si="1"/>
        <v>0</v>
      </c>
      <c r="K102" s="8">
        <f t="shared" si="2"/>
        <v>0</v>
      </c>
      <c r="L102" s="8" t="str">
        <f t="shared" si="3"/>
        <v>F</v>
      </c>
      <c r="M102" s="8" t="str">
        <f t="shared" si="4"/>
        <v>FAIL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>
        <v>66.0</v>
      </c>
      <c r="B103" s="11" t="s">
        <v>111</v>
      </c>
      <c r="C103" s="10" t="s">
        <v>14</v>
      </c>
      <c r="D103" s="8" t="s">
        <v>15</v>
      </c>
      <c r="E103" s="10" t="s">
        <v>16</v>
      </c>
      <c r="F103" s="8" t="s">
        <v>52</v>
      </c>
      <c r="G103" s="8">
        <v>9.0</v>
      </c>
      <c r="H103" s="8">
        <v>10.0</v>
      </c>
      <c r="I103" s="8">
        <v>0.0</v>
      </c>
      <c r="J103" s="8">
        <f t="shared" si="1"/>
        <v>19</v>
      </c>
      <c r="K103" s="8">
        <f t="shared" si="2"/>
        <v>0</v>
      </c>
      <c r="L103" s="8" t="str">
        <f t="shared" si="3"/>
        <v>F</v>
      </c>
      <c r="M103" s="8" t="str">
        <f t="shared" si="4"/>
        <v>FAIL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>
        <v>67.0</v>
      </c>
      <c r="B104" s="9" t="s">
        <v>112</v>
      </c>
      <c r="C104" s="10" t="s">
        <v>14</v>
      </c>
      <c r="D104" s="8" t="s">
        <v>15</v>
      </c>
      <c r="E104" s="10" t="s">
        <v>16</v>
      </c>
      <c r="F104" s="8" t="s">
        <v>52</v>
      </c>
      <c r="G104" s="8">
        <v>10.0</v>
      </c>
      <c r="H104" s="8">
        <v>10.0</v>
      </c>
      <c r="I104" s="8">
        <v>0.0</v>
      </c>
      <c r="J104" s="8">
        <f t="shared" si="1"/>
        <v>20</v>
      </c>
      <c r="K104" s="8">
        <f t="shared" si="2"/>
        <v>0</v>
      </c>
      <c r="L104" s="8" t="str">
        <f t="shared" si="3"/>
        <v>F</v>
      </c>
      <c r="M104" s="8" t="str">
        <f t="shared" si="4"/>
        <v>FAIL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>
        <v>68.0</v>
      </c>
      <c r="B105" s="11" t="s">
        <v>113</v>
      </c>
      <c r="C105" s="10" t="s">
        <v>14</v>
      </c>
      <c r="D105" s="8" t="s">
        <v>15</v>
      </c>
      <c r="E105" s="10" t="s">
        <v>16</v>
      </c>
      <c r="F105" s="8" t="s">
        <v>52</v>
      </c>
      <c r="G105" s="8">
        <v>13.0</v>
      </c>
      <c r="H105" s="8">
        <v>8.0</v>
      </c>
      <c r="I105" s="8">
        <v>0.0</v>
      </c>
      <c r="J105" s="8">
        <f t="shared" si="1"/>
        <v>21</v>
      </c>
      <c r="K105" s="8">
        <f t="shared" si="2"/>
        <v>0</v>
      </c>
      <c r="L105" s="8" t="str">
        <f t="shared" si="3"/>
        <v>F</v>
      </c>
      <c r="M105" s="8" t="str">
        <f t="shared" si="4"/>
        <v>FAIL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2">
        <v>69.0</v>
      </c>
      <c r="B106" s="9" t="s">
        <v>23</v>
      </c>
      <c r="C106" s="10" t="s">
        <v>14</v>
      </c>
      <c r="D106" s="8" t="s">
        <v>15</v>
      </c>
      <c r="E106" s="10" t="s">
        <v>16</v>
      </c>
      <c r="F106" s="8" t="s">
        <v>52</v>
      </c>
      <c r="G106" s="8"/>
      <c r="H106" s="8"/>
      <c r="I106" s="8"/>
      <c r="J106" s="8">
        <f t="shared" si="1"/>
        <v>0</v>
      </c>
      <c r="K106" s="8">
        <f t="shared" si="2"/>
        <v>0</v>
      </c>
      <c r="L106" s="8" t="str">
        <f t="shared" si="3"/>
        <v>F</v>
      </c>
      <c r="M106" s="8" t="str">
        <f t="shared" si="4"/>
        <v>FAIL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>
        <v>70.0</v>
      </c>
      <c r="B107" s="11" t="s">
        <v>114</v>
      </c>
      <c r="C107" s="10" t="s">
        <v>14</v>
      </c>
      <c r="D107" s="8" t="s">
        <v>15</v>
      </c>
      <c r="E107" s="10" t="s">
        <v>16</v>
      </c>
      <c r="F107" s="8" t="s">
        <v>52</v>
      </c>
      <c r="G107" s="8">
        <v>4.0</v>
      </c>
      <c r="H107" s="8">
        <v>13.0</v>
      </c>
      <c r="I107" s="8">
        <v>0.0</v>
      </c>
      <c r="J107" s="8">
        <f t="shared" si="1"/>
        <v>17</v>
      </c>
      <c r="K107" s="8">
        <f t="shared" si="2"/>
        <v>0</v>
      </c>
      <c r="L107" s="8" t="str">
        <f t="shared" si="3"/>
        <v>F</v>
      </c>
      <c r="M107" s="8" t="str">
        <f t="shared" si="4"/>
        <v>FAIL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2">
        <v>71.0</v>
      </c>
      <c r="B108" s="11" t="s">
        <v>115</v>
      </c>
      <c r="C108" s="10" t="s">
        <v>14</v>
      </c>
      <c r="D108" s="8" t="s">
        <v>15</v>
      </c>
      <c r="E108" s="10" t="s">
        <v>16</v>
      </c>
      <c r="F108" s="8" t="s">
        <v>52</v>
      </c>
      <c r="G108" s="8"/>
      <c r="H108" s="8"/>
      <c r="I108" s="8"/>
      <c r="J108" s="8">
        <f t="shared" si="1"/>
        <v>0</v>
      </c>
      <c r="K108" s="8">
        <f t="shared" si="2"/>
        <v>0</v>
      </c>
      <c r="L108" s="8" t="str">
        <f t="shared" si="3"/>
        <v>F</v>
      </c>
      <c r="M108" s="8" t="str">
        <f t="shared" si="4"/>
        <v>FAIL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>
        <v>72.0</v>
      </c>
      <c r="B109" s="11" t="s">
        <v>116</v>
      </c>
      <c r="C109" s="10" t="s">
        <v>14</v>
      </c>
      <c r="D109" s="8" t="s">
        <v>15</v>
      </c>
      <c r="E109" s="10" t="s">
        <v>16</v>
      </c>
      <c r="F109" s="8" t="s">
        <v>52</v>
      </c>
      <c r="G109" s="8">
        <v>32.0</v>
      </c>
      <c r="H109" s="8">
        <v>11.0</v>
      </c>
      <c r="I109" s="8">
        <v>20.0</v>
      </c>
      <c r="J109" s="8">
        <f t="shared" si="1"/>
        <v>63</v>
      </c>
      <c r="K109" s="8">
        <f t="shared" si="2"/>
        <v>3.5</v>
      </c>
      <c r="L109" s="8" t="str">
        <f t="shared" si="3"/>
        <v>A-</v>
      </c>
      <c r="M109" s="8" t="str">
        <f t="shared" si="4"/>
        <v>PASS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>
        <v>73.0</v>
      </c>
      <c r="B110" s="11" t="s">
        <v>117</v>
      </c>
      <c r="C110" s="10" t="s">
        <v>14</v>
      </c>
      <c r="D110" s="8" t="s">
        <v>118</v>
      </c>
      <c r="E110" s="10" t="s">
        <v>16</v>
      </c>
      <c r="F110" s="8" t="s">
        <v>52</v>
      </c>
      <c r="G110" s="8"/>
      <c r="H110" s="8"/>
      <c r="I110" s="8"/>
      <c r="J110" s="8">
        <f t="shared" si="1"/>
        <v>0</v>
      </c>
      <c r="K110" s="8">
        <f t="shared" si="2"/>
        <v>0</v>
      </c>
      <c r="L110" s="8" t="str">
        <f t="shared" si="3"/>
        <v>F</v>
      </c>
      <c r="M110" s="8" t="str">
        <f t="shared" si="4"/>
        <v>FAIL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9"/>
      <c r="C111" s="1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9"/>
      <c r="C112" s="1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9"/>
      <c r="C113" s="1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9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9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9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9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9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9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9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9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9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9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9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9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9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9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9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9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9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9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9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9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9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9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9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9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9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9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9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9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9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9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9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9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9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9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9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9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9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9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9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9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9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9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9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9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9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9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9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9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9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9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9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9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9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9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9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9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9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9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9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9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9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9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9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9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9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9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9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9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9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9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9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9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9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9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9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9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9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9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9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9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9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9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9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9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9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9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9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9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9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9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9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9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9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9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9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9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9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9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9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9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9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9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9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9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9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9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9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9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9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9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9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9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9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9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9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9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9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9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9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9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9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9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9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9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9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9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9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9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9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9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9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9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9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9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9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9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9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9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9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9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9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9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9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9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9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9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9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9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9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9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9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9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9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9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9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9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9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9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9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9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9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9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9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9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9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9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9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9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9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9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9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9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9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9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9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9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9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9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9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9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9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9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9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9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9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9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9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9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9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9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9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9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9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9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9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9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9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9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9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9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9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9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9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9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9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9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9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9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9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9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9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9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9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9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9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9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9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9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9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9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9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9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9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9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9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9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9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9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9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9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9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9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9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9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9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9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9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9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9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9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9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9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9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9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9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9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9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9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9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9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9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9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9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9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9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9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9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9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9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9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9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9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9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9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9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9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9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9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9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9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9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9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9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9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9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9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9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9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9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9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9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9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9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9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9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9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9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9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9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9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9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9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9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9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9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9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9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9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9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9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9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9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9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9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9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9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9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9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9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9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9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9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9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9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9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9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9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9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9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9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9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9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9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9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9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9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9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9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9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9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9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9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9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9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9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9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9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9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9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9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9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9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9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9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9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9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9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9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9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9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9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9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9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9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9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9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9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9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9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9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9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9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9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9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9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9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9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9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9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9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9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9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9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9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9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9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9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9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9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9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9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9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9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9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9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9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9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9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9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9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9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9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9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9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9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9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9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9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9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9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9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9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9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9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9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9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9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9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9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9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9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9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9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9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9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9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9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9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9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9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9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9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9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9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9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9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9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9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9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9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9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9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9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9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9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9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9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9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9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9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9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9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9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9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9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9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9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9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9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9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9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9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9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9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9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9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9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9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9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9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9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9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9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9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9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9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9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9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9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9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9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9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9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9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9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9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9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9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9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9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9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9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9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9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9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9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9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9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9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9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9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9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9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9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9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9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9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9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9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9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9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9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9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9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9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9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9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9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9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9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9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9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9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9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9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9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9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9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9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9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9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9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9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9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9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9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9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9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9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9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9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9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9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9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9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9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9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9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9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9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9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9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9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9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9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9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9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9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9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9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9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9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9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9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9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9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9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9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9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9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9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9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9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9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9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9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9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9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9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9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9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9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9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9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9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9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9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9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9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9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9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9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9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9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9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9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9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9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9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9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9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9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9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9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9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9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9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9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9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9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9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9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9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9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9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9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9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9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9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9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9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9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9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9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9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9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9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9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9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9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9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9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9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9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9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9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9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9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9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9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9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9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9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9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9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9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9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9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9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9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9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9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9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9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9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9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9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9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9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9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9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9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9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9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9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9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9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9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9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9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9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9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9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9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9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9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9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9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9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9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9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9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9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9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9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9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9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9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9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9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9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9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9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9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9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9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9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9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9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9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9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9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9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9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9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9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9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9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9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9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9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9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9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9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9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9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9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9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9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9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9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9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9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9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9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9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9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9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9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9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9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9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9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9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9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9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9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9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9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9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9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9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9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9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9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9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9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9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9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9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9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9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9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9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9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9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9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9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9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9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9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9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9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9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9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9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9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9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9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9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9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9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9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9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9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9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9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9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9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9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9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9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9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9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9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9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9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9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9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9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9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9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9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9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9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9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9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9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9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9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9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9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9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9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9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9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9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9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9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9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9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9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9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9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9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9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9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9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9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9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9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9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9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9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9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9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9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9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9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9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9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9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9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9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9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9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9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9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9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9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9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9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9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9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9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9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9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9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9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9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9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9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9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9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9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9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9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9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9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9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9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9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9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9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9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9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9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9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9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9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9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9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9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9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9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9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9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9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9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9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9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9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9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9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9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9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9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9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9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9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9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9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9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9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9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9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conditionalFormatting sqref="M2:M110">
    <cfRule type="containsText" dxfId="0" priority="1" operator="containsText" text="FAIL">
      <formula>NOT(ISERROR(SEARCH(("FAIL"),(M2))))</formula>
    </cfRule>
  </conditionalFormatting>
  <conditionalFormatting sqref="M2:M110">
    <cfRule type="containsText" dxfId="1" priority="2" operator="containsText" text="PASS">
      <formula>NOT(ISERROR(SEARCH(("PASS"),(M2))))</formula>
    </cfRule>
  </conditionalFormatting>
  <conditionalFormatting sqref="K2:K110">
    <cfRule type="cellIs" dxfId="2" priority="3" operator="lessThan">
      <formula>1</formula>
    </cfRule>
  </conditionalFormatting>
  <conditionalFormatting sqref="L2:L110">
    <cfRule type="containsText" dxfId="2" priority="4" operator="containsText" text="F">
      <formula>NOT(ISERROR(SEARCH(("F"),(L2))))</formula>
    </cfRule>
  </conditionalFormatting>
  <conditionalFormatting sqref="J1:J110">
    <cfRule type="cellIs" dxfId="2" priority="5" operator="lessThan">
      <formula>33</formula>
    </cfRule>
  </conditionalFormatting>
  <conditionalFormatting sqref="G2:G110">
    <cfRule type="cellIs" dxfId="2" priority="6" operator="lessThan">
      <formula>17</formula>
    </cfRule>
  </conditionalFormatting>
  <conditionalFormatting sqref="H2:H110">
    <cfRule type="cellIs" dxfId="2" priority="7" operator="lessThan">
      <formula>8</formula>
    </cfRule>
  </conditionalFormatting>
  <printOptions/>
  <pageMargins bottom="0.75" footer="0.0" header="0.0" left="0.7" right="0.7" top="0.75"/>
  <pageSetup orientation="portrait"/>
  <drawing r:id="rId1"/>
</worksheet>
</file>